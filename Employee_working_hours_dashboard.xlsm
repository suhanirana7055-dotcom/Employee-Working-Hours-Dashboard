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excel\"/>
    </mc:Choice>
  </mc:AlternateContent>
  <xr:revisionPtr revIDLastSave="0" documentId="13_ncr:1_{96AC6EF0-1385-47AC-8E14-603EEC187BFF}" xr6:coauthVersionLast="47" xr6:coauthVersionMax="47" xr10:uidLastSave="{00000000-0000-0000-0000-000000000000}"/>
  <bookViews>
    <workbookView xWindow="-108" yWindow="-108" windowWidth="23256" windowHeight="12456" activeTab="4" xr2:uid="{B32BDF04-9A77-4669-A6EA-BB36867B13D2}"/>
  </bookViews>
  <sheets>
    <sheet name="break" sheetId="1" r:id="rId1"/>
    <sheet name="efficiency" sheetId="2" r:id="rId2"/>
    <sheet name="overall performance" sheetId="4" r:id="rId3"/>
    <sheet name="summary" sheetId="5" r:id="rId4"/>
    <sheet name="dashboard" sheetId="6" r:id="rId5"/>
  </sheets>
  <definedNames>
    <definedName name="break">break!$A:$I</definedName>
    <definedName name="edata">efficiency!$A:$O</definedName>
    <definedName name="pdata">'overall performance'!$A:$J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2" i="5"/>
  <c r="A3" i="5"/>
  <c r="A2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</calcChain>
</file>

<file path=xl/sharedStrings.xml><?xml version="1.0" encoding="utf-8"?>
<sst xmlns="http://schemas.openxmlformats.org/spreadsheetml/2006/main" count="504" uniqueCount="195">
  <si>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</si>
  <si>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</si>
  <si>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</si>
  <si>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</si>
  <si>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</si>
  <si>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</si>
  <si>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</si>
  <si>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</si>
  <si>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</si>
  <si>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Total Working Hours</t>
  </si>
  <si>
    <t>Work Efficiency</t>
  </si>
  <si>
    <t>Attended Calls</t>
  </si>
  <si>
    <t>Efficiency %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</si>
  <si>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</si>
  <si>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</si>
  <si>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</si>
  <si>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</si>
  <si>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</si>
  <si>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</si>
  <si>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</si>
  <si>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</si>
  <si>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</si>
  <si>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</si>
  <si>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Rahul Sharma (1009001)</t>
  </si>
  <si>
    <t>Priya Verma (1009002)</t>
  </si>
  <si>
    <t>Aman Singh (1009003)</t>
  </si>
  <si>
    <t>Neha Gupta (1009004)</t>
  </si>
  <si>
    <t>Rohit Kumar (1009005)</t>
  </si>
  <si>
    <t>Anjali Dixit (1009006)</t>
  </si>
  <si>
    <t>Karan Mehta (1009007)</t>
  </si>
  <si>
    <t>Pooja Rana (1009008)</t>
  </si>
  <si>
    <t>Deepak Joshi (1009009)</t>
  </si>
  <si>
    <t>Sakshi Rawat (1009010)</t>
  </si>
  <si>
    <t>Mohit Negi (1009011)</t>
  </si>
  <si>
    <t>Nisha Bisht (1009012)</t>
  </si>
  <si>
    <t>Arjun Chauhan (1009013)</t>
  </si>
  <si>
    <t>Vishal Kumar (1009014)</t>
  </si>
  <si>
    <t>Aditi Sharma (1009015)</t>
  </si>
  <si>
    <t>Harsh Kumar (1009016)</t>
  </si>
  <si>
    <t>Simran Kaur (1009017)</t>
  </si>
  <si>
    <t>Ajay Rawat (1009018)</t>
  </si>
  <si>
    <t>Ritika Sharma (1009019)</t>
  </si>
  <si>
    <t>Nitin Verma (1009020)</t>
  </si>
  <si>
    <t>Kajal Joshi (1009021)</t>
  </si>
  <si>
    <t>Manoj Singh (1009022)</t>
  </si>
  <si>
    <t>Pallavi Rana (1009023)</t>
  </si>
  <si>
    <t>Vikas Chauhan (1009024)</t>
  </si>
  <si>
    <t>Shreya Negi (1009025)</t>
  </si>
  <si>
    <t>Ankit Kumar (1009026)</t>
  </si>
  <si>
    <t>Muskan Bisht (1009027)</t>
  </si>
  <si>
    <t>Saurabh Sharma (1009028)</t>
  </si>
  <si>
    <t>Tanya Gupta (1009029)</t>
  </si>
  <si>
    <t>Yash Mehta (1009030)</t>
  </si>
  <si>
    <t>Riya Kapoor (1009031)</t>
  </si>
  <si>
    <t>Abhishek Joshi (1009032)</t>
  </si>
  <si>
    <t>Komal Verma (1009033)</t>
  </si>
  <si>
    <t>Rohit Rawat (1009034)</t>
  </si>
  <si>
    <t>Sonia Sharma (1009035)</t>
  </si>
  <si>
    <t>Aakash Negi (1009036)</t>
  </si>
  <si>
    <t>Nidhi Bisht (1009037)</t>
  </si>
  <si>
    <t>Vivek Kumar (1009038)</t>
  </si>
  <si>
    <t>Megha Rana (1009039)</t>
  </si>
  <si>
    <t>Tarun Chauhan (1009040)</t>
  </si>
  <si>
    <t>Pooja Rawat (1009041)</t>
  </si>
  <si>
    <t>Rajat Singh (1009042)</t>
  </si>
  <si>
    <t>Kritika Gupta (1009043)</t>
  </si>
  <si>
    <t>Manish Kumar (1009044)</t>
  </si>
  <si>
    <t>Sneha Joshi (1009045)</t>
  </si>
  <si>
    <t>Ananya Sharma (1009046)</t>
  </si>
  <si>
    <t>Rahul Bisht (1009047)</t>
  </si>
  <si>
    <t>Kavya Verma (1009048)</t>
  </si>
  <si>
    <t>Mohit Rana (1009049)</t>
  </si>
  <si>
    <t>Sakshi Gupta (1009050)</t>
  </si>
  <si>
    <t>Harshit Sharma (1009051)</t>
  </si>
  <si>
    <t>Anjali Rawat (1009052)</t>
  </si>
  <si>
    <t>Vikas Gupta (1009053)</t>
  </si>
  <si>
    <t>Kritika Sharma (1009054)</t>
  </si>
  <si>
    <t>Mohit Rawat (1009055)</t>
  </si>
  <si>
    <t>Riya Verma (1009056)</t>
  </si>
  <si>
    <t>Tarun Bisht (1009057)</t>
  </si>
  <si>
    <t>Pallavi Sharma (1009058)</t>
  </si>
  <si>
    <t>Nitin Rana (1009059)</t>
  </si>
  <si>
    <t>Sonia Gupta (1009060)</t>
  </si>
  <si>
    <t>Deepak Sharma (1009061)</t>
  </si>
  <si>
    <t>Kajal Rawat (1009062)</t>
  </si>
  <si>
    <t>Rahul Verma (1009063)</t>
  </si>
  <si>
    <t>Sneha Bisht (1009064)</t>
  </si>
  <si>
    <t>Arjun Rana (1009065)</t>
  </si>
  <si>
    <t>Ananya Gupta (1009066)</t>
  </si>
  <si>
    <t>Vivek Sharma (1009067)</t>
  </si>
  <si>
    <t>Ritika Rawat (1009068)</t>
  </si>
  <si>
    <t>Mohit Gupta (1009069)</t>
  </si>
  <si>
    <t>Sakshi Verma (1009070)</t>
  </si>
  <si>
    <t>Harsh Rana (1009071)</t>
  </si>
  <si>
    <t>Pooja Sharma (1009072)</t>
  </si>
  <si>
    <t>Aman Bisht (1009073)</t>
  </si>
  <si>
    <t>Nidhi Verma (1009074)</t>
  </si>
  <si>
    <t>Karan Rawat (1009075)</t>
  </si>
  <si>
    <t>Muskan Gupta (1009076)</t>
  </si>
  <si>
    <t>Rahul Sharma (1009077)</t>
  </si>
  <si>
    <t>Komal Rana (1009078)</t>
  </si>
  <si>
    <t>Deepika Bisht (1009079)</t>
  </si>
  <si>
    <t>Tarun Sharma (1009080)</t>
  </si>
  <si>
    <t>Sneha Rawat (1009081)</t>
  </si>
  <si>
    <t>Rohit Gupta (1009082)</t>
  </si>
  <si>
    <t>Kajal Verma (1009083)</t>
  </si>
  <si>
    <t>Ankit Rana (1009084)</t>
  </si>
  <si>
    <t>Priya Sharma (1009085)</t>
  </si>
  <si>
    <t>Aditi Rawat (1009086)</t>
  </si>
  <si>
    <t>Vikas Sharma (1009087)</t>
  </si>
  <si>
    <t>Riya Bisht (1009088)</t>
  </si>
  <si>
    <t>Mohit Verma (1009089)</t>
  </si>
  <si>
    <t>Pallavi Gupta (1009090)</t>
  </si>
  <si>
    <t>Rahul Rana (1009091)</t>
  </si>
  <si>
    <t>Sneha Sharma (1009092)</t>
  </si>
  <si>
    <t>Ankit Rawat (1009093)</t>
  </si>
  <si>
    <t>Komal Bisht (1009094)</t>
  </si>
  <si>
    <t>Harshit Gupta (1009095)</t>
  </si>
  <si>
    <t>Muskan Sharma (1009096)</t>
  </si>
  <si>
    <t>Deepak Rana (1009097)</t>
  </si>
  <si>
    <t>Kritika Verma (1009098)</t>
  </si>
  <si>
    <t>Tarun Gupta (1009099)</t>
  </si>
  <si>
    <t>Rohit Sharma (1009100)</t>
  </si>
  <si>
    <t>Ananya Bisht (1009101)</t>
  </si>
  <si>
    <t>Nitin Sharma (1009102)</t>
  </si>
  <si>
    <t>Sakshi Gupta (1009103)</t>
  </si>
  <si>
    <t>Aakash Rawat (1009104)</t>
  </si>
  <si>
    <t>Priyanka Sharma (1009105)</t>
  </si>
  <si>
    <t>Aditi Bisht (1009106)</t>
  </si>
  <si>
    <t>Karan Sharma (1009107)</t>
  </si>
  <si>
    <t>Nisha Rawat (1009108)</t>
  </si>
  <si>
    <t>Aman Verma (1009109)</t>
  </si>
  <si>
    <t>Ritika Bisht (1009110)</t>
  </si>
  <si>
    <t>Mohit Sharma (1009111)</t>
  </si>
  <si>
    <t>Pooja Gupta (1009112)</t>
  </si>
  <si>
    <t>Vivek Rawat (1009113)</t>
  </si>
  <si>
    <t>Muskan Sharma (1009114)</t>
  </si>
  <si>
    <t>Ankit Bisht (1009115)</t>
  </si>
  <si>
    <t>Sneha Verma (1009116)</t>
  </si>
  <si>
    <t>Rahul Chauhan (1009117)</t>
  </si>
  <si>
    <t>Kajal Rana (1009118)</t>
  </si>
  <si>
    <t>Deepak Bisht (1009119)</t>
  </si>
  <si>
    <t>Riya Sharma (1009120)</t>
  </si>
  <si>
    <t>Harsh Verma (1009121)</t>
  </si>
  <si>
    <t>Sakshi Rana (1009122)</t>
  </si>
  <si>
    <t>Nitin Rawat (1009123)</t>
  </si>
  <si>
    <t>Komal Gupta (1009124)</t>
  </si>
  <si>
    <t>Arjun Sharma (1009125)</t>
  </si>
  <si>
    <t>Priya Bisht (1009126)</t>
  </si>
  <si>
    <t>Aakash Sharma (1009127)</t>
  </si>
  <si>
    <t>Neha Verma (1009128)</t>
  </si>
  <si>
    <t>Rohit Bisht (1009129)</t>
  </si>
  <si>
    <t>Muskan Rana (1009130)</t>
  </si>
  <si>
    <t>Harshit Sharma (1009131)</t>
  </si>
  <si>
    <t>Anjali Rawat (1009132)</t>
  </si>
  <si>
    <t>Vikas Gupta (1009133)</t>
  </si>
  <si>
    <t>Kritika Sharma (1009134)</t>
  </si>
  <si>
    <t>Mohit Rawat (1009135)</t>
  </si>
  <si>
    <t>Riya Verma (1009136)</t>
  </si>
  <si>
    <t>Tarun Bisht (1009137)</t>
  </si>
  <si>
    <t>Pallavi Sharma (1009138)</t>
  </si>
  <si>
    <t>Nitin Rana (1009139)</t>
  </si>
  <si>
    <t>Sonia Gupta (1009140)</t>
  </si>
  <si>
    <t>Deepak Sharma (1009141)</t>
  </si>
  <si>
    <t>Kajal Rawat (1009142)</t>
  </si>
  <si>
    <t>Rahul Verma (1009143)</t>
  </si>
  <si>
    <t>Sneha Bisht (1009144)</t>
  </si>
  <si>
    <t>Arjun Rana (1009145)</t>
  </si>
  <si>
    <t>Ananya Gupta (1009146)</t>
  </si>
  <si>
    <t>Vivek Sharma (1009147)</t>
  </si>
  <si>
    <t>Ritika Rawat (1009148)</t>
  </si>
  <si>
    <t>Mohit Gupta (1009149)</t>
  </si>
  <si>
    <t>Sakshi Verma (1009150)</t>
  </si>
  <si>
    <t>Transferred Calls</t>
  </si>
  <si>
    <t>Conference Calls</t>
  </si>
  <si>
    <t>Redirected Calls</t>
  </si>
  <si>
    <t>Hold Calls</t>
  </si>
  <si>
    <t>% Calls on Hold</t>
  </si>
  <si>
    <t>Avg Call Duration</t>
  </si>
  <si>
    <t>Avg In Focus Call Hold</t>
  </si>
  <si>
    <t>Calls Unattended Time</t>
  </si>
  <si>
    <t>Employee name</t>
  </si>
  <si>
    <t>Total number of working hours</t>
  </si>
  <si>
    <t>Work efficiency</t>
  </si>
  <si>
    <t>Total break taken</t>
  </si>
  <si>
    <t>Attended calls</t>
  </si>
  <si>
    <t>Active with customer</t>
  </si>
  <si>
    <t>Row Labels</t>
  </si>
  <si>
    <t>Kritika Sharma</t>
  </si>
  <si>
    <t>Sakshi Verma</t>
  </si>
  <si>
    <t>Sneha Bisht</t>
  </si>
  <si>
    <t>Sonia Gupta</t>
  </si>
  <si>
    <t>Sum of Total number of working hours</t>
  </si>
  <si>
    <t>Report 1: Working Hours</t>
  </si>
  <si>
    <t>Sum of Active with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</si>
</sst>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h:mm:ss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Arial Rounded MT Bold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21" fontId="0" fillId="0" borderId="0" xfId="0" applyNumberFormat="1"/>
    <xf numFmtId="21" fontId="0" fillId="0" borderId="0" xfId="0" applyNumberFormat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10" fontId="0" fillId="0" borderId="0" xfId="0" applyNumberFormat="1"/>
    <xf numFmtId="0" fontId="2" fillId="2" borderId="0" xfId="0" applyFont="1" applyFill="1"/>
    <xf numFmtId="0" fontId="2" fillId="2" borderId="1" xfId="0" applyFont="1" applyFill="1" applyBorder="1"/>
    <xf numFmtId="46" fontId="0" fillId="0" borderId="0" xfId="0" applyNumberFormat="1"/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3" borderId="0" xfId="0" applyFill="1"/>
    <xf numFmtId="0" fontId="5" fillId="0" borderId="0" xfId="0" applyFont="1"/>
    <xf numFmtId="164" fontId="0" fillId="0" borderId="0" xfId="0" applyNumberFormat="1"/>
    <xf numFmtId="0" fontId="4" fillId="4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project.xlsm]dashboard!PivotTable1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4"/>
                <c:pt idx="0">
                  <c:v>Kritika Sharma</c:v>
                </c:pt>
                <c:pt idx="1">
                  <c:v>Sakshi Verma</c:v>
                </c:pt>
                <c:pt idx="2">
                  <c:v>Sneha Bisht</c:v>
                </c:pt>
                <c:pt idx="3">
                  <c:v>Sonia Gupta</c:v>
                </c:pt>
              </c:strCache>
            </c:strRef>
          </c:cat>
          <c:val>
            <c:numRef>
              <c:f>dashboard!$B$5:$B$8</c:f>
              <c:numCache>
                <c:formatCode>h:mm:ss;@</c:formatCode>
                <c:ptCount val="4"/>
                <c:pt idx="0">
                  <c:v>0.69519675925925917</c:v>
                </c:pt>
                <c:pt idx="1">
                  <c:v>0.69762731481481477</c:v>
                </c:pt>
                <c:pt idx="2">
                  <c:v>0.6953125</c:v>
                </c:pt>
                <c:pt idx="3">
                  <c:v>0.69681712962962972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A9-4EF5-A2BA-C3A758FA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6020959"/>
        <c:axId val="1876031519"/>
      </c:barChart>
      <c:catAx>
        <c:axId val="1876020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031519"/>
        <c:crosses val="autoZero"/>
        <c:auto val="1"/>
        <c:lblAlgn val="ctr"/>
        <c:lblOffset val="100"/>
        <c:noMultiLvlLbl val="0"/>
      </c:catAx>
      <c:valAx>
        <c:axId val="1876031519"/>
        <c:scaling>
          <c:orientation val="minMax"/>
        </c:scaling>
        <c:delete val="1"/>
        <c:axPos val="l"/>
        <c:numFmt formatCode="h:mm:ss;@" sourceLinked="1"/>
        <c:majorTickMark val="none"/>
        <c:minorTickMark val="none"/>
        <c:tickLblPos val="nextTo"/>
        <c:crossAx val="1876020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project.xlsm]dashboard!PivotTable3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dashboard!$G$4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0-4581-9F99-CCEDA3C280F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50-4581-9F99-CCEDA3C280F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50-4581-9F99-CCEDA3C280F0}"/>
              </c:ext>
            </c:extLst>
          </c:dPt>
          <c:cat>
            <c:strRef>
              <c:f>dashboard!$F$5:$F$7</c:f>
              <c:strCache>
                <c:ptCount val="3"/>
                <c:pt idx="0">
                  <c:v>Kritika Sharma</c:v>
                </c:pt>
                <c:pt idx="1">
                  <c:v>Sakshi Verma</c:v>
                </c:pt>
                <c:pt idx="2">
                  <c:v>Sonia Gupta</c:v>
                </c:pt>
              </c:strCache>
            </c:strRef>
          </c:cat>
          <c:val>
            <c:numRef>
              <c:f>dashboard!$G$5:$G$7</c:f>
              <c:numCache>
                <c:formatCode>0.0%</c:formatCode>
                <c:ptCount val="3"/>
                <c:pt idx="0">
                  <c:v>1.1833</c:v>
                </c:pt>
                <c:pt idx="1">
                  <c:v>1.1949000000000001</c:v>
                </c:pt>
                <c:pt idx="2">
                  <c:v>1.1901000000000002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4-4CAE-AA29-071454685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083333333333337"/>
          <c:y val="0.39575094779819181"/>
          <c:w val="0.22916658645053231"/>
          <c:h val="0.301642971711869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4"/>
</file>

<file path=xl/ctrlProps/ctrlProp2.xml><?xml version="1.0" encoding="utf-8"?>
<formControlPr xmlns="http://schemas.microsoft.com/office/spreadsheetml/2009/9/main" objectType="Spin" dx="26" fmlaLink="$C$2" max="200" min="1" page="10" val="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624840</xdr:colOff>
      <xdr:row>0</xdr:row>
      <xdr:rowOff>22860</xdr:rowOff>
    </xdr:from>
    <xdr:to>
      <xdr:col>1</xdr:col>
      <xdr:colOff>1219200</xdr:colOff>
      <xdr:row>1</xdr:row>
      <xdr:rowOff>178308</xdr:rowOff>
    </xdr:to>
    <xdr:sp macro="[0]!spinner3_CODE" textlink="$C$1">
      <xdr:nvSpPr>
        <xdr:cNvPr id="10" name="Rectangle 9">
          <a:extLst>
            <a:ext uri="{FF2B5EF4-FFF2-40B4-BE49-F238E27FC236}">
              <a16:creationId xmlns:a16="http://schemas.microsoft.com/office/drawing/2014/main" id="{65253617-9457-17F1-8F3E-B18628A6D088}"/>
            </a:ext>
          </a:extLst>
        </xdr:cNvPr>
        <xdr:cNvSpPr/>
      </xdr:nvSpPr>
      <xdr:spPr>
        <a:xfrm>
          <a:off x="1584960" y="22860"/>
          <a:ext cx="594360" cy="338328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266F69B9-6A15-4991-8595-20179C266E56}" type="TxLink">
            <a:rPr lang="en-US" sz="1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4</a:t>
          </a:fld>
          <a:endParaRPr lang="en-US" sz="1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68580</xdr:colOff>
      <xdr:row>1</xdr:row>
      <xdr:rowOff>167640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653641CE-6DD7-7006-53BE-EAD68E12E075}"/>
            </a:ext>
          </a:extLst>
        </xdr:cNvPr>
        <xdr:cNvSpPr/>
      </xdr:nvSpPr>
      <xdr:spPr>
        <a:xfrm>
          <a:off x="0" y="0"/>
          <a:ext cx="1028700" cy="350520"/>
        </a:xfrm>
        <a:prstGeom prst="rightArrow">
          <a:avLst>
            <a:gd name="adj1" fmla="val 100000"/>
            <a:gd name="adj2" fmla="val 105208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>
              <a:latin typeface="Arial Rounded MT Bold" panose="020F0704030504030204" pitchFamily="34" charset="0"/>
            </a:rPr>
            <a:t>CHART</a:t>
          </a:r>
        </a:p>
      </xdr:txBody>
    </xdr:sp>
    <xdr:clientData/>
  </xdr:twoCellAnchor>
  <xdr:twoCellAnchor>
    <xdr:from>
      <xdr:col>0</xdr:col>
      <xdr:colOff>0</xdr:colOff>
      <xdr:row>9</xdr:row>
      <xdr:rowOff>22860</xdr:rowOff>
    </xdr:from>
    <xdr:to>
      <xdr:col>1</xdr:col>
      <xdr:colOff>2331720</xdr:colOff>
      <xdr:row>24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AFFECD-502D-881B-CCEA-65517EC9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60960</xdr:colOff>
      <xdr:row>0</xdr:row>
      <xdr:rowOff>30480</xdr:rowOff>
    </xdr:from>
    <xdr:to>
      <xdr:col>1</xdr:col>
      <xdr:colOff>591760</xdr:colOff>
      <xdr:row>1</xdr:row>
      <xdr:rowOff>167640</xdr:rowOff>
    </xdr:to>
    <xdr:pic macro="[0]!hidechart_1">
      <xdr:nvPicPr>
        <xdr:cNvPr id="5" name="Picture 4">
          <a:extLst>
            <a:ext uri="{FF2B5EF4-FFF2-40B4-BE49-F238E27FC236}">
              <a16:creationId xmlns:a16="http://schemas.microsoft.com/office/drawing/2014/main" id="{08186A59-61BC-DF28-9760-6D93E1B0F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" y="30480"/>
          <a:ext cx="530800" cy="32004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76201</xdr:colOff>
      <xdr:row>0</xdr:row>
      <xdr:rowOff>38100</xdr:rowOff>
    </xdr:from>
    <xdr:to>
      <xdr:col>1</xdr:col>
      <xdr:colOff>542180</xdr:colOff>
      <xdr:row>1</xdr:row>
      <xdr:rowOff>175260</xdr:rowOff>
    </xdr:to>
    <xdr:pic macro="[0]!showchart_1">
      <xdr:nvPicPr>
        <xdr:cNvPr id="9" name="Picture 8" hidden="1">
          <a:extLst>
            <a:ext uri="{FF2B5EF4-FFF2-40B4-BE49-F238E27FC236}">
              <a16:creationId xmlns:a16="http://schemas.microsoft.com/office/drawing/2014/main" id="{98958543-90FC-E30C-2A9D-B6547A680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321" y="38100"/>
          <a:ext cx="465979" cy="32004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655320</xdr:colOff>
          <xdr:row>0</xdr:row>
          <xdr:rowOff>38100</xdr:rowOff>
        </xdr:from>
        <xdr:to>
          <xdr:col>1</xdr:col>
          <xdr:colOff>937260</xdr:colOff>
          <xdr:row>1</xdr:row>
          <xdr:rowOff>152400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1249680</xdr:colOff>
      <xdr:row>0</xdr:row>
      <xdr:rowOff>7620</xdr:rowOff>
    </xdr:from>
    <xdr:to>
      <xdr:col>2</xdr:col>
      <xdr:colOff>15240</xdr:colOff>
      <xdr:row>1</xdr:row>
      <xdr:rowOff>175260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60AFFBC5-E0EA-4C2A-ACB4-32CE904E9DC1}"/>
            </a:ext>
          </a:extLst>
        </xdr:cNvPr>
        <xdr:cNvSpPr/>
      </xdr:nvSpPr>
      <xdr:spPr>
        <a:xfrm flipH="1">
          <a:off x="2209800" y="7620"/>
          <a:ext cx="1363980" cy="350520"/>
        </a:xfrm>
        <a:prstGeom prst="rightArrow">
          <a:avLst>
            <a:gd name="adj1" fmla="val 100000"/>
            <a:gd name="adj2" fmla="val 105208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>
              <a:latin typeface="Arial Rounded MT Bold" panose="020F0704030504030204" pitchFamily="34" charset="0"/>
            </a:rPr>
            <a:t>RECORD</a:t>
          </a:r>
        </a:p>
      </xdr:txBody>
    </xdr:sp>
    <xdr:clientData/>
  </xdr:twoCellAnchor>
  <xdr:twoCellAnchor>
    <xdr:from>
      <xdr:col>5</xdr:col>
      <xdr:colOff>137160</xdr:colOff>
      <xdr:row>9</xdr:row>
      <xdr:rowOff>106680</xdr:rowOff>
    </xdr:from>
    <xdr:to>
      <xdr:col>6</xdr:col>
      <xdr:colOff>2293620</xdr:colOff>
      <xdr:row>24</xdr:row>
      <xdr:rowOff>106680</xdr:rowOff>
    </xdr:to>
    <xdr:graphicFrame macro="[0]!spinner4_code">
      <xdr:nvGraphicFramePr>
        <xdr:cNvPr id="22" name="Chart 21">
          <a:extLst>
            <a:ext uri="{FF2B5EF4-FFF2-40B4-BE49-F238E27FC236}">
              <a16:creationId xmlns:a16="http://schemas.microsoft.com/office/drawing/2014/main" id="{147F71BF-AA91-F468-5F21-C2224B8EFF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624840</xdr:colOff>
      <xdr:row>0</xdr:row>
      <xdr:rowOff>22860</xdr:rowOff>
    </xdr:from>
    <xdr:to>
      <xdr:col>6</xdr:col>
      <xdr:colOff>1219200</xdr:colOff>
      <xdr:row>1</xdr:row>
      <xdr:rowOff>178308</xdr:rowOff>
    </xdr:to>
    <xdr:sp macro="[0]!spinner4_code" textlink="$C$2">
      <xdr:nvSpPr>
        <xdr:cNvPr id="23" name="Rectangle 22">
          <a:extLst>
            <a:ext uri="{FF2B5EF4-FFF2-40B4-BE49-F238E27FC236}">
              <a16:creationId xmlns:a16="http://schemas.microsoft.com/office/drawing/2014/main" id="{0B44F63E-3CF6-4209-A265-508B9EF77AC8}"/>
            </a:ext>
          </a:extLst>
        </xdr:cNvPr>
        <xdr:cNvSpPr/>
      </xdr:nvSpPr>
      <xdr:spPr>
        <a:xfrm>
          <a:off x="1584960" y="22860"/>
          <a:ext cx="594360" cy="338328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C52E5DC4-70CA-4F4B-9104-DEE04FC8861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3</a:t>
          </a:fld>
          <a:endParaRPr lang="en-US" sz="1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68580</xdr:colOff>
      <xdr:row>1</xdr:row>
      <xdr:rowOff>167640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D0F947EB-7BD6-4EB9-9C69-BAE4EA8100AA}"/>
            </a:ext>
          </a:extLst>
        </xdr:cNvPr>
        <xdr:cNvSpPr/>
      </xdr:nvSpPr>
      <xdr:spPr>
        <a:xfrm>
          <a:off x="0" y="0"/>
          <a:ext cx="1028700" cy="350520"/>
        </a:xfrm>
        <a:prstGeom prst="rightArrow">
          <a:avLst>
            <a:gd name="adj1" fmla="val 100000"/>
            <a:gd name="adj2" fmla="val 105208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>
              <a:latin typeface="Arial Rounded MT Bold" panose="020F0704030504030204" pitchFamily="34" charset="0"/>
            </a:rPr>
            <a:t>CHART</a:t>
          </a:r>
        </a:p>
      </xdr:txBody>
    </xdr:sp>
    <xdr:clientData/>
  </xdr:twoCellAnchor>
  <xdr:oneCellAnchor>
    <xdr:from>
      <xdr:col>6</xdr:col>
      <xdr:colOff>106680</xdr:colOff>
      <xdr:row>0</xdr:row>
      <xdr:rowOff>15240</xdr:rowOff>
    </xdr:from>
    <xdr:ext cx="530800" cy="320040"/>
    <xdr:pic macro="[0]!hidechart1">
      <xdr:nvPicPr>
        <xdr:cNvPr id="25" name="Picture 24">
          <a:extLst>
            <a:ext uri="{FF2B5EF4-FFF2-40B4-BE49-F238E27FC236}">
              <a16:creationId xmlns:a16="http://schemas.microsoft.com/office/drawing/2014/main" id="{575D8513-99AC-49BA-9914-74226443B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140" y="15240"/>
          <a:ext cx="530800" cy="32004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655320</xdr:colOff>
          <xdr:row>0</xdr:row>
          <xdr:rowOff>38100</xdr:rowOff>
        </xdr:from>
        <xdr:to>
          <xdr:col>6</xdr:col>
          <xdr:colOff>937260</xdr:colOff>
          <xdr:row>1</xdr:row>
          <xdr:rowOff>152400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1249680</xdr:colOff>
      <xdr:row>0</xdr:row>
      <xdr:rowOff>7620</xdr:rowOff>
    </xdr:from>
    <xdr:to>
      <xdr:col>7</xdr:col>
      <xdr:colOff>15240</xdr:colOff>
      <xdr:row>1</xdr:row>
      <xdr:rowOff>175260</xdr:rowOff>
    </xdr:to>
    <xdr:sp macro="" textlink="">
      <xdr:nvSpPr>
        <xdr:cNvPr id="27" name="Arrow: Right 26">
          <a:extLst>
            <a:ext uri="{FF2B5EF4-FFF2-40B4-BE49-F238E27FC236}">
              <a16:creationId xmlns:a16="http://schemas.microsoft.com/office/drawing/2014/main" id="{BD920F15-CD9A-43BF-A016-B71025F11C23}"/>
            </a:ext>
          </a:extLst>
        </xdr:cNvPr>
        <xdr:cNvSpPr/>
      </xdr:nvSpPr>
      <xdr:spPr>
        <a:xfrm flipH="1">
          <a:off x="2209800" y="7620"/>
          <a:ext cx="1363980" cy="350520"/>
        </a:xfrm>
        <a:prstGeom prst="rightArrow">
          <a:avLst>
            <a:gd name="adj1" fmla="val 100000"/>
            <a:gd name="adj2" fmla="val 105208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>
              <a:latin typeface="Arial Rounded MT Bold" panose="020F0704030504030204" pitchFamily="34" charset="0"/>
            </a:rPr>
            <a:t>RECORD</a:t>
          </a:r>
        </a:p>
      </xdr:txBody>
    </xdr:sp>
    <xdr:clientData/>
  </xdr:twoCellAnchor>
  <xdr:twoCellAnchor editAs="oneCell">
    <xdr:from>
      <xdr:col>6</xdr:col>
      <xdr:colOff>99060</xdr:colOff>
      <xdr:row>0</xdr:row>
      <xdr:rowOff>0</xdr:rowOff>
    </xdr:from>
    <xdr:to>
      <xdr:col>6</xdr:col>
      <xdr:colOff>565039</xdr:colOff>
      <xdr:row>1</xdr:row>
      <xdr:rowOff>137160</xdr:rowOff>
    </xdr:to>
    <xdr:pic macro="[0]!Showwchart1">
      <xdr:nvPicPr>
        <xdr:cNvPr id="29" name="Picture 28" hidden="1">
          <a:extLst>
            <a:ext uri="{FF2B5EF4-FFF2-40B4-BE49-F238E27FC236}">
              <a16:creationId xmlns:a16="http://schemas.microsoft.com/office/drawing/2014/main" id="{5E969984-5EC4-4288-A97B-5D88772A7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6520" y="0"/>
          <a:ext cx="465979" cy="32004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hani rana" refreshedDate="46194.543115972221" createdVersion="8" refreshedVersion="8" minRefreshableVersion="3" recordCount="150" xr:uid="{AEA861B1-2230-4F2B-A28F-67B06EA14DD0}">
  <cacheSource type="worksheet">
    <worksheetSource ref="A1:G151" sheet="summary"/>
  </cacheSource>
  <cacheFields count="10">
    <cacheField name="Employee" numFmtId="0">
      <sharedItems/>
    </cacheField>
    <cacheField name="Employee name" numFmtId="0">
      <sharedItems count="127">
        <s v="Rahul Sharma"/>
        <s v="Priya Verma"/>
        <s v="Aman Singh"/>
        <s v="Neha Gupta"/>
        <s v="Rohit Kumar"/>
        <s v="Anjali Dixit"/>
        <s v="Karan Mehta"/>
        <s v="Pooja Rana"/>
        <s v="Deepak Joshi"/>
        <s v="Sakshi Rawat"/>
        <s v="Mohit Negi"/>
        <s v="Nisha Bisht"/>
        <s v="Arjun Chauhan"/>
        <s v="Vishal Kumar"/>
        <s v="Aditi Sharma"/>
        <s v="Harsh Kumar"/>
        <s v="Simran Kaur"/>
        <s v="Ajay Rawat"/>
        <s v="Ritika Sharma"/>
        <s v="Nitin Verma"/>
        <s v="Kajal Joshi"/>
        <s v="Manoj Singh"/>
        <s v="Pallavi Rana"/>
        <s v="Vikas Chauhan"/>
        <s v="Shreya Negi"/>
        <s v="Ankit Kumar"/>
        <s v="Muskan Bisht"/>
        <s v="Saurabh Sharma"/>
        <s v="Tanya Gupta"/>
        <s v="Yash Mehta"/>
        <s v="Riya Kapoor"/>
        <s v="Abhishek Joshi"/>
        <s v="Komal Verma"/>
        <s v="Rohit Rawat"/>
        <s v="Sonia Sharma"/>
        <s v="Aakash Negi"/>
        <s v="Nidhi Bisht"/>
        <s v="Vivek Kumar"/>
        <s v="Megha Rana"/>
        <s v="Tarun Chauhan"/>
        <s v="Pooja Rawat"/>
        <s v="Rajat Singh"/>
        <s v="Kritika Gupta"/>
        <s v="Manish Kumar"/>
        <s v="Sneha Joshi"/>
        <s v="Ananya Sharma"/>
        <s v="Rahul Bisht"/>
        <s v="Kavya Verma"/>
        <s v="Mohit Rana"/>
        <s v="Sakshi Gupta"/>
        <s v="Harshit Sharma"/>
        <s v="Anjali Rawat"/>
        <s v="Vikas Gupta"/>
        <s v="Kritika Sharma"/>
        <s v="Mohit Rawat"/>
        <s v="Riya Verma"/>
        <s v="Tarun Bisht"/>
        <s v="Pallavi Sharma"/>
        <s v="Nitin Rana"/>
        <s v="Sonia Gupta"/>
        <s v="Deepak Sharma"/>
        <s v="Kajal Rawat"/>
        <s v="Rahul Verma"/>
        <s v="Sneha Bisht"/>
        <s v="Arjun Rana"/>
        <s v="Ananya Gupta"/>
        <s v="Vivek Sharma"/>
        <s v="Ritika Rawat"/>
        <s v="Mohit Gupta"/>
        <s v="Sakshi Verma"/>
        <s v="Harsh Rana"/>
        <s v="Pooja Sharma"/>
        <s v="Aman Bisht"/>
        <s v="Nidhi Verma"/>
        <s v="Karan Rawat"/>
        <s v="Muskan Gupta"/>
        <s v="Komal Rana"/>
        <s v="Deepika Bisht"/>
        <s v="Tarun Sharma"/>
        <s v="Sneha Rawat"/>
        <s v="Rohit Gupta"/>
        <s v="Kajal Verma"/>
        <s v="Ankit Rana"/>
        <s v="Priya Sharma"/>
        <s v="Aditi Rawat"/>
        <s v="Vikas Sharma"/>
        <s v="Riya Bisht"/>
        <s v="Mohit Verma"/>
        <s v="Pallavi Gupta"/>
        <s v="Rahul Rana"/>
        <s v="Sneha Sharma"/>
        <s v="Ankit Rawat"/>
        <s v="Komal Bisht"/>
        <s v="Harshit Gupta"/>
        <s v="Muskan Sharma"/>
        <s v="Deepak Rana"/>
        <s v="Kritika Verma"/>
        <s v="Tarun Gupta"/>
        <s v="Rohit Sharma"/>
        <s v="Ananya Bisht"/>
        <s v="Nitin Sharma"/>
        <s v="Aakash Rawat"/>
        <s v="Priyanka Sharma"/>
        <s v="Aditi Bisht"/>
        <s v="Karan Sharma"/>
        <s v="Nisha Rawat"/>
        <s v="Aman Verma"/>
        <s v="Ritika Bisht"/>
        <s v="Mohit Sharma"/>
        <s v="Pooja Gupta"/>
        <s v="Vivek Rawat"/>
        <s v="Ankit Bisht"/>
        <s v="Sneha Verma"/>
        <s v="Rahul Chauhan"/>
        <s v="Kajal Rana"/>
        <s v="Deepak Bisht"/>
        <s v="Riya Sharma"/>
        <s v="Harsh Verma"/>
        <s v="Sakshi Rana"/>
        <s v="Nitin Rawat"/>
        <s v="Komal Gupta"/>
        <s v="Arjun Sharma"/>
        <s v="Priya Bisht"/>
        <s v="Aakash Sharma"/>
        <s v="Neha Verma"/>
        <s v="Rohit Bisht"/>
        <s v="Muskan Rana"/>
      </sharedItems>
    </cacheField>
    <cacheField name="Total number of working hours" numFmtId="46">
      <sharedItems containsSemiMixedTypes="0" containsNonDate="0" containsDate="1" containsString="0" minDate="1899-12-30T05:00:09" maxDate="1899-12-30T09:16:31" count="137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8:11:28"/>
        <d v="1899-12-30T08:05:47"/>
        <d v="1899-12-30T08:18:04"/>
        <d v="1899-12-30T07:58:33"/>
        <d v="1899-12-30T08:22:18"/>
        <d v="1899-12-30T08:09:25"/>
        <d v="1899-12-30T08:14:57"/>
        <d v="1899-12-30T08:06:40"/>
        <d v="1899-12-30T08:19:12"/>
        <d v="1899-12-30T08:03:51"/>
        <d v="1899-12-30T08:08:20"/>
        <d v="1899-12-30T08:21:05"/>
        <d v="1899-12-30T08:10:42"/>
        <d v="1899-12-30T08:16:18"/>
        <d v="1899-12-30T08:04:55"/>
        <d v="1899-12-30T08:18:30"/>
        <d v="1899-12-30T08:07:12"/>
        <d v="1899-12-30T08:20:46"/>
        <d v="1899-12-30T08:12:25"/>
        <d v="1899-12-30T08:18:15"/>
        <d v="1899-12-30T08:09:58"/>
        <d v="1899-12-30T08:21:10"/>
        <d v="1899-12-30T08:05:22"/>
        <d v="1899-12-30T08:17:35"/>
        <d v="1899-12-30T08:08:45"/>
        <d v="1899-12-30T08:20:28"/>
        <d v="1899-12-30T08:11:15"/>
        <d v="1899-12-30T08:19:42"/>
        <d v="1899-12-30T08:07:55"/>
        <d v="1899-12-30T08:18:50"/>
        <d v="1899-12-30T08:10:05"/>
        <d v="1899-12-30T08:22:12"/>
        <d v="1899-12-30T08:06:35"/>
        <d v="1899-12-30T08:17:48"/>
        <d v="1899-12-30T08:09:20"/>
        <d v="1899-12-30T08:12:40"/>
        <d v="1899-12-30T08:15:20"/>
        <d v="1899-12-30T08:07:45"/>
        <d v="1899-12-30T08:19:30"/>
        <d v="1899-12-30T08:10:15"/>
        <d v="1899-12-30T08:21:45"/>
        <d v="1899-12-30T08:05:50"/>
        <d v="1899-12-30T08:17:10"/>
        <d v="1899-12-30T08:08:35"/>
        <d v="1899-12-30T08:20:55"/>
        <d v="1899-12-30T08:11:40"/>
        <d v="1899-12-30T08:18:25"/>
        <d v="1899-12-30T08:06:55"/>
        <d v="1899-12-30T08:19:10"/>
        <d v="1899-12-30T08:09:45"/>
        <d v="1899-12-30T08:22:05"/>
        <d v="1899-12-30T08:07:20"/>
        <d v="1899-12-30T08:16:45"/>
        <d v="1899-12-30T08:08:10"/>
        <d v="1899-12-30T08:20:35"/>
        <d v="1899-12-30T08:11:55"/>
        <d v="1899-12-30T08:18:20"/>
        <d v="1899-12-30T08:07:50"/>
        <d v="1899-12-30T08:20:10"/>
        <d v="1899-12-30T08:10:30"/>
        <d v="1899-12-30T08:21:55"/>
        <d v="1899-12-30T08:06:20"/>
        <d v="1899-12-30T08:17:40"/>
        <d v="1899-12-30T08:08:55"/>
        <d v="1899-12-30T08:20:45"/>
        <d v="1899-12-30T08:11:25"/>
        <d v="1899-12-30T08:18:05"/>
        <d v="1899-12-30T08:07:15"/>
        <d v="1899-12-30T08:19:25"/>
        <d v="1899-12-30T08:09:35"/>
        <d v="1899-12-30T08:22:15"/>
        <d v="1899-12-30T08:06:50"/>
        <d v="1899-12-30T08:16:35"/>
        <d v="1899-12-30T08:08:25"/>
        <d v="1899-12-30T08:20:25"/>
        <d v="1899-12-30T08:11:45"/>
        <d v="1899-12-30T08:18:40"/>
        <d v="1899-12-30T08:07:35"/>
        <d v="1899-12-30T08:19:55"/>
        <d v="1899-12-30T08:10:20"/>
        <d v="1899-12-30T08:21:35"/>
        <d v="1899-12-30T08:06:10"/>
        <d v="1899-12-30T08:17:25"/>
        <d v="1899-12-30T08:20:50"/>
        <d v="1899-12-30T08:11:30"/>
        <d v="1899-12-30T08:07:05"/>
        <d v="1899-12-30T08:19:20"/>
        <d v="1899-12-30T08:22:25"/>
        <d v="1899-12-30T08:16:25"/>
        <d v="1899-12-30T08:08:15"/>
        <d v="1899-12-30T08:20:15"/>
        <d v="1899-12-30T08:11:35"/>
        <d v="1899-12-30T08:19:40"/>
        <d v="1899-12-30T08:10:10"/>
        <d v="1899-12-30T08:21:20"/>
        <d v="1899-12-30T08:06:00"/>
        <d v="1899-12-30T08:20:40"/>
        <d v="1899-12-30T08:11:20"/>
        <d v="1899-12-30T08:18:00"/>
        <d v="1899-12-30T08:19:05"/>
        <d v="1899-12-30T08:09:15"/>
        <d v="1899-12-30T08:22:35"/>
        <d v="1899-12-30T08:06:30"/>
        <d v="1899-12-30T08:16:15"/>
        <d v="1899-12-30T08:08:05"/>
        <d v="1899-12-30T08:20:00"/>
        <d v="1899-12-30T08:11:10"/>
        <d v="1899-12-30T08:18:45"/>
        <d v="1899-12-30T08:07:30"/>
        <d v="1899-12-30T08:10:25"/>
        <d v="1899-12-30T08:21:40"/>
        <d v="1899-12-30T08:06:15"/>
        <d v="1899-12-30T08:17:30"/>
        <d v="1899-12-30T08:08:50"/>
        <d v="1899-12-30T08:20:20"/>
        <d v="1899-12-30T08:11:50"/>
        <d v="1899-12-30T08:18:10"/>
        <d v="1899-12-30T08:07:00"/>
        <d v="1899-12-30T08:19:15"/>
        <d v="1899-12-30T08:09:30"/>
        <d v="1899-12-30T08:22:30"/>
      </sharedItems>
      <fieldGroup par="9"/>
    </cacheField>
    <cacheField name="Work efficiency" numFmtId="46">
      <sharedItems containsSemiMixedTypes="0" containsNonDate="0" containsDate="1" containsString="0" minDate="1899-12-30T03:19:44" maxDate="1899-12-30T05:52:08"/>
    </cacheField>
    <cacheField name="Total break taken" numFmtId="46">
      <sharedItems containsSemiMixedTypes="0" containsNonDate="0" containsDate="1" containsString="0" minDate="1899-12-30T01:07:05" maxDate="1899-12-30T02:26:10"/>
    </cacheField>
    <cacheField name="Attended calls" numFmtId="0">
      <sharedItems containsSemiMixedTypes="0" containsString="0" containsNumber="1" containsInteger="1" minValue="23" maxValue="112"/>
    </cacheField>
    <cacheField name="Active with customer" numFmtId="164">
      <sharedItems containsSemiMixedTypes="0" containsString="0" containsNumber="1" minValue="0.41549999999999998" maxValue="0.65500000000000003"/>
    </cacheField>
    <cacheField name="Seconds (Total number of working hours)" numFmtId="0" databaseField="0">
      <fieldGroup base="2">
        <rangePr groupBy="seconds" startDate="1899-12-30T05:00:09" endDate="1899-12-30T09:16:31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otal number of working hours)" numFmtId="0" databaseField="0">
      <fieldGroup base="2">
        <rangePr groupBy="minutes" startDate="1899-12-30T05:00:09" endDate="1899-12-30T09:16:31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otal number of working hours)" numFmtId="0" databaseField="0">
      <fieldGroup base="2">
        <rangePr groupBy="hours" startDate="1899-12-30T05:00:09" endDate="1899-12-30T09:16:31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s v="Rahul Sharma (1009001)"/>
    <x v="0"/>
    <x v="0"/>
    <d v="1899-12-30T04:57:59"/>
    <d v="1899-12-30T01:07:05"/>
    <n v="98"/>
    <n v="0.55700000000000005"/>
  </r>
  <r>
    <s v="Priya Verma (1009002)"/>
    <x v="1"/>
    <x v="1"/>
    <d v="1899-12-30T04:58:34"/>
    <d v="1899-12-30T01:14:57"/>
    <n v="23"/>
    <n v="0.58030000000000004"/>
  </r>
  <r>
    <s v="Aman Singh (1009003)"/>
    <x v="2"/>
    <x v="2"/>
    <d v="1899-12-30T04:49:35"/>
    <d v="1899-12-30T01:17:55"/>
    <n v="28"/>
    <n v="0.5171"/>
  </r>
  <r>
    <s v="Neha Gupta (1009004)"/>
    <x v="3"/>
    <x v="3"/>
    <d v="1899-12-30T04:17:32"/>
    <d v="1899-12-30T01:25:58"/>
    <n v="29"/>
    <n v="0.47720000000000001"/>
  </r>
  <r>
    <s v="Rohit Kumar (1009005)"/>
    <x v="4"/>
    <x v="4"/>
    <d v="1899-12-30T03:19:44"/>
    <d v="1899-12-30T01:15:02"/>
    <n v="93"/>
    <n v="0.43290000000000001"/>
  </r>
  <r>
    <s v="Anjali Dixit (1009006)"/>
    <x v="5"/>
    <x v="5"/>
    <d v="1899-12-30T03:41:19"/>
    <d v="1899-12-30T01:41:45"/>
    <n v="92"/>
    <n v="0.65500000000000003"/>
  </r>
  <r>
    <s v="Karan Mehta (1009007)"/>
    <x v="6"/>
    <x v="6"/>
    <d v="1899-12-30T04:12:46"/>
    <d v="1899-12-30T02:16:22"/>
    <n v="26"/>
    <n v="0.49480000000000002"/>
  </r>
  <r>
    <s v="Pooja Rana (1009008)"/>
    <x v="7"/>
    <x v="7"/>
    <d v="1899-12-30T05:52:08"/>
    <d v="1899-12-30T01:14:55"/>
    <n v="90"/>
    <n v="0.55130000000000001"/>
  </r>
  <r>
    <s v="Deepak Joshi (1009009)"/>
    <x v="8"/>
    <x v="8"/>
    <d v="1899-12-30T04:52:29"/>
    <d v="1899-12-30T01:30:50"/>
    <n v="89"/>
    <n v="0.55210000000000004"/>
  </r>
  <r>
    <s v="Sakshi Rawat (1009010)"/>
    <x v="9"/>
    <x v="9"/>
    <d v="1899-12-30T04:58:07"/>
    <d v="1899-12-30T01:12:30"/>
    <n v="54"/>
    <n v="0.56869999999999998"/>
  </r>
  <r>
    <s v="Mohit Negi (1009011)"/>
    <x v="10"/>
    <x v="10"/>
    <d v="1899-12-30T04:55:28"/>
    <d v="1899-12-30T01:12:55"/>
    <n v="87"/>
    <n v="0.56040000000000001"/>
  </r>
  <r>
    <s v="Nisha Bisht (1009012)"/>
    <x v="11"/>
    <x v="11"/>
    <d v="1899-12-30T03:47:42"/>
    <d v="1899-12-30T01:17:40"/>
    <n v="65"/>
    <n v="0.41549999999999998"/>
  </r>
  <r>
    <s v="Arjun Chauhan (1009013)"/>
    <x v="12"/>
    <x v="12"/>
    <d v="1899-12-30T04:43:40"/>
    <d v="1899-12-30T01:48:50"/>
    <n v="85"/>
    <n v="0.50029999999999997"/>
  </r>
  <r>
    <s v="Vishal Kumar (1009014)"/>
    <x v="13"/>
    <x v="13"/>
    <d v="1899-12-30T04:40:27"/>
    <d v="1899-12-30T01:49:59"/>
    <n v="65"/>
    <n v="0.51400000000000001"/>
  </r>
  <r>
    <s v="Aditi Sharma (1009015)"/>
    <x v="14"/>
    <x v="14"/>
    <d v="1899-12-30T04:57:35"/>
    <d v="1899-12-30T01:11:50"/>
    <n v="83"/>
    <n v="0.51060000000000005"/>
  </r>
  <r>
    <s v="Harsh Kumar (1009016)"/>
    <x v="15"/>
    <x v="15"/>
    <d v="1899-12-30T04:44:12"/>
    <d v="1899-12-30T01:07:35"/>
    <n v="81"/>
    <n v="0.5736"/>
  </r>
  <r>
    <s v="Simran Kaur (1009017)"/>
    <x v="16"/>
    <x v="16"/>
    <d v="1899-12-30T04:39:55"/>
    <d v="1899-12-30T01:19:30"/>
    <n v="76"/>
    <n v="0.53239999999999998"/>
  </r>
  <r>
    <s v="Ajay Rawat (1009018)"/>
    <x v="17"/>
    <x v="17"/>
    <d v="1899-12-30T04:28:36"/>
    <d v="1899-12-30T01:26:50"/>
    <n v="72"/>
    <n v="0.52159999999999995"/>
  </r>
  <r>
    <s v="Ritika Sharma (1009019)"/>
    <x v="18"/>
    <x v="18"/>
    <d v="1899-12-30T05:01:25"/>
    <d v="1899-12-30T01:12:10"/>
    <n v="104"/>
    <n v="0.58409999999999995"/>
  </r>
  <r>
    <s v="Nitin Verma (1009020)"/>
    <x v="19"/>
    <x v="19"/>
    <d v="1899-12-30T04:15:10"/>
    <d v="1899-12-30T01:44:25"/>
    <n v="68"/>
    <n v="0.49819999999999998"/>
  </r>
  <r>
    <s v="Kajal Joshi (1009021)"/>
    <x v="20"/>
    <x v="20"/>
    <d v="1899-12-30T05:06:42"/>
    <d v="1899-12-30T02:19:35"/>
    <n v="109"/>
    <n v="0.59360000000000002"/>
  </r>
  <r>
    <s v="Manoj Singh (1009022)"/>
    <x v="21"/>
    <x v="21"/>
    <d v="1899-12-30T04:36:18"/>
    <d v="1899-12-30T01:15:30"/>
    <n v="79"/>
    <n v="0.54210000000000003"/>
  </r>
  <r>
    <s v="Pallavi Rana (1009023)"/>
    <x v="22"/>
    <x v="22"/>
    <d v="1899-12-30T04:48:50"/>
    <d v="1899-12-30T01:28:10"/>
    <n v="91"/>
    <n v="0.56720000000000004"/>
  </r>
  <r>
    <s v="Vikas Chauhan (1009024)"/>
    <x v="23"/>
    <x v="23"/>
    <d v="1899-12-30T04:25:33"/>
    <d v="1899-12-30T01:17:20"/>
    <n v="74"/>
    <n v="0.51359999999999995"/>
  </r>
  <r>
    <s v="Shreya Negi (1009025)"/>
    <x v="24"/>
    <x v="24"/>
    <d v="1899-12-30T05:02:14"/>
    <d v="1899-12-30T01:09:20"/>
    <n v="102"/>
    <n v="0.58930000000000005"/>
  </r>
  <r>
    <s v="Ankit Kumar (1009026)"/>
    <x v="25"/>
    <x v="25"/>
    <d v="1899-12-30T04:21:40"/>
    <d v="1899-12-30T01:16:40"/>
    <n v="70"/>
    <n v="0.50719999999999998"/>
  </r>
  <r>
    <s v="Muskan Bisht (1009027)"/>
    <x v="26"/>
    <x v="1"/>
    <d v="1899-12-30T04:54:28"/>
    <d v="1899-12-30T01:51:25"/>
    <n v="95"/>
    <n v="0.57250000000000001"/>
  </r>
  <r>
    <s v="Saurabh Sharma (1009028)"/>
    <x v="27"/>
    <x v="26"/>
    <d v="1899-12-30T04:33:17"/>
    <d v="1899-12-30T01:28:35"/>
    <n v="78"/>
    <n v="0.53180000000000005"/>
  </r>
  <r>
    <s v="Tanya Gupta (1009029)"/>
    <x v="28"/>
    <x v="27"/>
    <d v="1899-12-30T05:04:36"/>
    <d v="1899-12-30T01:12:15"/>
    <n v="107"/>
    <n v="0.5958"/>
  </r>
  <r>
    <s v="Yash Mehta (1009030)"/>
    <x v="29"/>
    <x v="28"/>
    <d v="1899-12-30T04:41:25"/>
    <d v="1899-12-30T01:17:40"/>
    <n v="84"/>
    <n v="0.5504"/>
  </r>
  <r>
    <s v="Riya Kapoor (1009031)"/>
    <x v="30"/>
    <x v="29"/>
    <d v="1899-12-30T04:57:10"/>
    <d v="1899-12-30T01:08:10"/>
    <n v="97"/>
    <n v="0.57809999999999995"/>
  </r>
  <r>
    <s v="Abhishek Joshi (1009032)"/>
    <x v="31"/>
    <x v="30"/>
    <d v="1899-12-30T04:26:45"/>
    <d v="1899-12-30T01:18:30"/>
    <n v="73"/>
    <n v="0.52429999999999999"/>
  </r>
  <r>
    <s v="Komal Verma (1009033)"/>
    <x v="32"/>
    <x v="31"/>
    <d v="1899-12-30T05:00:52"/>
    <d v="1899-12-30T01:17:40"/>
    <n v="101"/>
    <n v="0.5867"/>
  </r>
  <r>
    <s v="Rohit Rawat (1009034)"/>
    <x v="33"/>
    <x v="32"/>
    <d v="1899-12-30T04:31:20"/>
    <d v="1899-12-30T01:14:00"/>
    <n v="77"/>
    <n v="0.53049999999999997"/>
  </r>
  <r>
    <s v="Sonia Sharma (1009035)"/>
    <x v="34"/>
    <x v="33"/>
    <d v="1899-12-30T05:05:18"/>
    <d v="1899-12-30T01:45:30"/>
    <n v="108"/>
    <n v="0.59119999999999995"/>
  </r>
  <r>
    <s v="Aakash Negi (1009036)"/>
    <x v="35"/>
    <x v="34"/>
    <d v="1899-12-30T04:45:18"/>
    <d v="1899-12-30T02:24:30"/>
    <n v="86"/>
    <n v="0.55420000000000003"/>
  </r>
  <r>
    <s v="Nidhi Bisht (1009037)"/>
    <x v="36"/>
    <x v="23"/>
    <d v="1899-12-30T04:29:55"/>
    <d v="1899-12-30T01:18:15"/>
    <n v="75"/>
    <n v="0.52359999999999995"/>
  </r>
  <r>
    <s v="Vivek Kumar (1009038)"/>
    <x v="37"/>
    <x v="35"/>
    <d v="1899-12-30T05:01:42"/>
    <d v="1899-12-30T01:28:50"/>
    <n v="103"/>
    <n v="0.58750000000000002"/>
  </r>
  <r>
    <s v="Megha Rana (1009039)"/>
    <x v="38"/>
    <x v="36"/>
    <d v="1899-12-30T04:37:20"/>
    <d v="1899-12-30T01:18:05"/>
    <n v="80"/>
    <n v="0.54179999999999995"/>
  </r>
  <r>
    <s v="Tarun Chauhan (1009040)"/>
    <x v="39"/>
    <x v="37"/>
    <d v="1899-12-30T05:06:30"/>
    <d v="1899-12-30T01:10:10"/>
    <n v="110"/>
    <n v="0.5948"/>
  </r>
  <r>
    <s v="Pooja Rawat (1009041)"/>
    <x v="40"/>
    <x v="38"/>
    <d v="1899-12-30T04:25:40"/>
    <d v="1899-12-30T01:17:50"/>
    <n v="71"/>
    <n v="0.51949999999999996"/>
  </r>
  <r>
    <s v="Rajat Singh (1009042)"/>
    <x v="41"/>
    <x v="39"/>
    <d v="1899-12-30T04:58:12"/>
    <d v="1899-12-30T01:52:10"/>
    <n v="99"/>
    <n v="0.58120000000000005"/>
  </r>
  <r>
    <s v="Kritika Gupta (1009043)"/>
    <x v="42"/>
    <x v="40"/>
    <d v="1899-12-30T04:34:55"/>
    <d v="1899-12-30T01:29:30"/>
    <n v="78"/>
    <n v="0.53410000000000002"/>
  </r>
  <r>
    <s v="Manish Kumar (1009044)"/>
    <x v="43"/>
    <x v="41"/>
    <d v="1899-12-30T05:03:40"/>
    <d v="1899-12-30T01:11:50"/>
    <n v="106"/>
    <n v="0.59060000000000001"/>
  </r>
  <r>
    <s v="Sneha Joshi (1009045)"/>
    <x v="44"/>
    <x v="42"/>
    <d v="1899-12-30T04:42:30"/>
    <d v="1899-12-30T01:18:30"/>
    <n v="83"/>
    <n v="0.54820000000000002"/>
  </r>
  <r>
    <s v="Ananya Sharma (1009046)"/>
    <x v="45"/>
    <x v="43"/>
    <d v="1899-12-30T05:00:15"/>
    <d v="1899-12-30T01:52:10"/>
    <n v="101"/>
    <n v="0.58630000000000004"/>
  </r>
  <r>
    <s v="Rahul Bisht (1009047)"/>
    <x v="46"/>
    <x v="44"/>
    <d v="1899-12-30T04:30:48"/>
    <d v="1899-12-30T01:17:10"/>
    <n v="76"/>
    <n v="0.52880000000000005"/>
  </r>
  <r>
    <s v="Kavya Verma (1009048)"/>
    <x v="47"/>
    <x v="45"/>
    <d v="1899-12-30T05:02:25"/>
    <d v="1899-12-30T01:20:35"/>
    <n v="104"/>
    <n v="0.58889999999999998"/>
  </r>
  <r>
    <s v="Mohit Rana (1009049)"/>
    <x v="48"/>
    <x v="46"/>
    <d v="1899-12-30T04:38:12"/>
    <d v="1899-12-30T01:45:00"/>
    <n v="81"/>
    <n v="0.54349999999999998"/>
  </r>
  <r>
    <s v="Sakshi Gupta (1009050)"/>
    <x v="49"/>
    <x v="47"/>
    <d v="1899-12-30T05:07:05"/>
    <d v="1899-12-30T01:30:30"/>
    <n v="111"/>
    <n v="0.59709999999999996"/>
  </r>
  <r>
    <s v="Harshit Sharma (1009051)"/>
    <x v="50"/>
    <x v="48"/>
    <d v="1899-12-30T04:27:30"/>
    <d v="1899-12-30T01:07:30"/>
    <n v="72"/>
    <n v="0.52100000000000002"/>
  </r>
  <r>
    <s v="Anjali Rawat (1009052)"/>
    <x v="51"/>
    <x v="49"/>
    <d v="1899-12-30T04:56:22"/>
    <d v="1899-12-30T01:18:20"/>
    <n v="96"/>
    <n v="0.57950000000000002"/>
  </r>
  <r>
    <s v="Vikas Gupta (1009053)"/>
    <x v="52"/>
    <x v="50"/>
    <d v="1899-12-30T04:35:15"/>
    <d v="1899-12-30T01:27:25"/>
    <n v="79"/>
    <n v="0.53580000000000005"/>
  </r>
  <r>
    <s v="Kritika Sharma (1009054)"/>
    <x v="53"/>
    <x v="27"/>
    <d v="1899-12-30T05:04:45"/>
    <d v="1899-12-30T01:13:35"/>
    <n v="108"/>
    <n v="0.59219999999999995"/>
  </r>
  <r>
    <s v="Mohit Rawat (1009055)"/>
    <x v="54"/>
    <x v="51"/>
    <d v="1899-12-30T04:43:50"/>
    <d v="1899-12-30T01:47:45"/>
    <n v="84"/>
    <n v="0.55030000000000001"/>
  </r>
  <r>
    <s v="Riya Verma (1009056)"/>
    <x v="55"/>
    <x v="52"/>
    <d v="1899-12-30T04:48:35"/>
    <d v="1899-12-30T02:21:50"/>
    <n v="88"/>
    <n v="0.5585"/>
  </r>
  <r>
    <s v="Tarun Bisht (1009057)"/>
    <x v="56"/>
    <x v="53"/>
    <d v="1899-12-30T04:32:10"/>
    <d v="1899-12-30T01:17:25"/>
    <n v="77"/>
    <n v="0.53120000000000001"/>
  </r>
  <r>
    <s v="Pallavi Sharma (1009058)"/>
    <x v="57"/>
    <x v="54"/>
    <d v="1899-12-30T05:01:55"/>
    <d v="1899-12-30T01:29:05"/>
    <n v="102"/>
    <n v="0.58699999999999997"/>
  </r>
  <r>
    <s v="Nitin Rana (1009059)"/>
    <x v="58"/>
    <x v="55"/>
    <d v="1899-12-30T04:39:25"/>
    <d v="1899-12-30T01:17:15"/>
    <n v="82"/>
    <n v="0.54259999999999997"/>
  </r>
  <r>
    <s v="Sonia Gupta (1009060)"/>
    <x v="59"/>
    <x v="56"/>
    <d v="1899-12-30T05:05:20"/>
    <d v="1899-12-30T01:09:30"/>
    <n v="109"/>
    <n v="0.59450000000000003"/>
  </r>
  <r>
    <s v="Deepak Sharma (1009061)"/>
    <x v="60"/>
    <x v="57"/>
    <d v="1899-12-30T04:28:40"/>
    <d v="1899-12-30T01:17:05"/>
    <n v="73"/>
    <n v="0.52239999999999998"/>
  </r>
  <r>
    <s v="Kajal Rawat (1009062)"/>
    <x v="61"/>
    <x v="58"/>
    <d v="1899-12-30T04:55:45"/>
    <d v="1899-12-30T01:52:55"/>
    <n v="95"/>
    <n v="0.5776"/>
  </r>
  <r>
    <s v="Rahul Verma (1009063)"/>
    <x v="62"/>
    <x v="59"/>
    <d v="1899-12-30T04:34:20"/>
    <d v="1899-12-30T01:29:30"/>
    <n v="78"/>
    <n v="0.53459999999999996"/>
  </r>
  <r>
    <s v="Sneha Bisht (1009064)"/>
    <x v="63"/>
    <x v="60"/>
    <d v="1899-12-30T05:03:50"/>
    <d v="1899-12-30T01:11:55"/>
    <n v="107"/>
    <n v="0.59079999999999999"/>
  </r>
  <r>
    <s v="Arjun Rana (1009065)"/>
    <x v="64"/>
    <x v="61"/>
    <d v="1899-12-30T04:42:15"/>
    <d v="1899-12-30T01:17:50"/>
    <n v="83"/>
    <n v="0.54700000000000004"/>
  </r>
  <r>
    <s v="Ananya Gupta (1009066)"/>
    <x v="65"/>
    <x v="62"/>
    <d v="1899-12-30T05:00:40"/>
    <d v="1899-12-30T01:28:15"/>
    <n v="100"/>
    <n v="0.58550000000000002"/>
  </r>
  <r>
    <s v="Vivek Sharma (1009067)"/>
    <x v="66"/>
    <x v="63"/>
    <d v="1899-12-30T04:31:35"/>
    <d v="1899-12-30T01:18:30"/>
    <n v="75"/>
    <n v="0.52810000000000001"/>
  </r>
  <r>
    <s v="Ritika Rawat (1009068)"/>
    <x v="67"/>
    <x v="64"/>
    <d v="1899-12-30T05:02:05"/>
    <d v="1899-12-30T01:19:50"/>
    <n v="103"/>
    <n v="0.58819999999999995"/>
  </r>
  <r>
    <s v="Mohit Gupta (1009069)"/>
    <x v="68"/>
    <x v="65"/>
    <d v="1899-12-30T04:37:50"/>
    <d v="1899-12-30T01:46:35"/>
    <n v="80"/>
    <n v="0.54100000000000004"/>
  </r>
  <r>
    <s v="Sakshi Verma (1009070)"/>
    <x v="69"/>
    <x v="66"/>
    <d v="1899-12-30T05:06:45"/>
    <d v="1899-12-30T01:30:15"/>
    <n v="110"/>
    <n v="0.59630000000000005"/>
  </r>
  <r>
    <s v="Harsh Rana (1009071)"/>
    <x v="70"/>
    <x v="67"/>
    <d v="1899-12-30T04:29:25"/>
    <d v="1899-12-30T01:07:55"/>
    <n v="74"/>
    <n v="0.52390000000000003"/>
  </r>
  <r>
    <s v="Pooja Sharma (1009072)"/>
    <x v="71"/>
    <x v="68"/>
    <d v="1899-12-30T04:54:10"/>
    <d v="1899-12-30T01:19:15"/>
    <n v="94"/>
    <n v="0.57609999999999995"/>
  </r>
  <r>
    <s v="Aman Bisht (1009073)"/>
    <x v="72"/>
    <x v="69"/>
    <d v="1899-12-30T04:33:45"/>
    <d v="1899-12-30T01:26:15"/>
    <n v="77"/>
    <n v="0.53269999999999995"/>
  </r>
  <r>
    <s v="Nidhi Verma (1009074)"/>
    <x v="73"/>
    <x v="70"/>
    <d v="1899-12-30T05:04:15"/>
    <d v="1899-12-30T01:13:20"/>
    <n v="108"/>
    <n v="0.5917"/>
  </r>
  <r>
    <s v="Karan Rawat (1009075)"/>
    <x v="74"/>
    <x v="71"/>
    <d v="1899-12-30T04:43:25"/>
    <d v="1899-12-30T01:46:20"/>
    <n v="84"/>
    <n v="0.54910000000000003"/>
  </r>
  <r>
    <s v="Muskan Gupta (1009076)"/>
    <x v="75"/>
    <x v="72"/>
    <d v="1899-12-30T04:59:35"/>
    <d v="1899-12-30T02:26:10"/>
    <n v="99"/>
    <n v="0.58199999999999996"/>
  </r>
  <r>
    <s v="Rahul Sharma (1009077)"/>
    <x v="0"/>
    <x v="73"/>
    <d v="1899-12-30T04:31:55"/>
    <d v="1899-12-30T01:15:35"/>
    <n v="76"/>
    <n v="0.52949999999999997"/>
  </r>
  <r>
    <s v="Komal Rana (1009078)"/>
    <x v="76"/>
    <x v="74"/>
    <d v="1899-12-30T05:03:25"/>
    <d v="1899-12-30T01:28:05"/>
    <n v="106"/>
    <n v="0.59009999999999996"/>
  </r>
  <r>
    <s v="Deepika Bisht (1009079)"/>
    <x v="77"/>
    <x v="75"/>
    <d v="1899-12-30T04:39:10"/>
    <d v="1899-12-30T01:17:15"/>
    <n v="81"/>
    <n v="0.54290000000000005"/>
  </r>
  <r>
    <s v="Tarun Sharma (1009080)"/>
    <x v="78"/>
    <x v="76"/>
    <d v="1899-12-30T05:05:50"/>
    <d v="1899-12-30T01:09:45"/>
    <n v="109"/>
    <n v="0.59519999999999995"/>
  </r>
  <r>
    <s v="Sneha Rawat (1009081)"/>
    <x v="79"/>
    <x v="77"/>
    <d v="1899-12-30T04:28:15"/>
    <d v="1899-12-30T01:17:15"/>
    <n v="73"/>
    <n v="0.52180000000000004"/>
  </r>
  <r>
    <s v="Rohit Gupta (1009082)"/>
    <x v="80"/>
    <x v="78"/>
    <d v="1899-12-30T04:56:05"/>
    <d v="1899-12-30T01:51:45"/>
    <n v="96"/>
    <n v="0.57889999999999997"/>
  </r>
  <r>
    <s v="Kajal Verma (1009083)"/>
    <x v="81"/>
    <x v="79"/>
    <d v="1899-12-30T04:34:40"/>
    <d v="1899-12-30T01:29:55"/>
    <n v="78"/>
    <n v="0.53390000000000004"/>
  </r>
  <r>
    <s v="Ankit Rana (1009084)"/>
    <x v="82"/>
    <x v="80"/>
    <d v="1899-12-30T05:04:05"/>
    <d v="1899-12-30T01:12:20"/>
    <n v="107"/>
    <n v="0.59130000000000005"/>
  </r>
  <r>
    <s v="Priya Sharma (1009085)"/>
    <x v="83"/>
    <x v="81"/>
    <d v="1899-12-30T04:42:45"/>
    <d v="1899-12-30T01:17:45"/>
    <n v="83"/>
    <n v="0.54759999999999998"/>
  </r>
  <r>
    <s v="Aditi Rawat (1009086)"/>
    <x v="84"/>
    <x v="82"/>
    <d v="1899-12-30T05:00:20"/>
    <d v="1899-12-30T01:27:55"/>
    <n v="100"/>
    <n v="0.58609999999999995"/>
  </r>
  <r>
    <s v="Vikas Sharma (1009087)"/>
    <x v="85"/>
    <x v="83"/>
    <d v="1899-12-30T04:30:55"/>
    <d v="1899-12-30T01:18:15"/>
    <n v="75"/>
    <n v="0.52839999999999998"/>
  </r>
  <r>
    <s v="Riya Bisht (1009088)"/>
    <x v="86"/>
    <x v="84"/>
    <d v="1899-12-30T05:02:35"/>
    <d v="1899-12-30T01:20:15"/>
    <n v="103"/>
    <n v="0.58860000000000001"/>
  </r>
  <r>
    <s v="Mohit Verma (1009089)"/>
    <x v="87"/>
    <x v="85"/>
    <d v="1899-12-30T04:37:35"/>
    <d v="1899-12-30T01:45:30"/>
    <n v="80"/>
    <n v="0.54059999999999997"/>
  </r>
  <r>
    <s v="Pallavi Gupta (1009090)"/>
    <x v="88"/>
    <x v="86"/>
    <d v="1899-12-30T05:07:15"/>
    <d v="1899-12-30T01:30:10"/>
    <n v="111"/>
    <n v="0.59750000000000003"/>
  </r>
  <r>
    <s v="Rahul Rana (1009091)"/>
    <x v="89"/>
    <x v="87"/>
    <d v="1899-12-30T04:29:05"/>
    <d v="1899-12-30T01:08:00"/>
    <n v="74"/>
    <n v="0.52339999999999998"/>
  </r>
  <r>
    <s v="Sneha Sharma (1009092)"/>
    <x v="90"/>
    <x v="88"/>
    <d v="1899-12-30T04:53:50"/>
    <d v="1899-12-30T01:17:55"/>
    <n v="94"/>
    <n v="0.57550000000000001"/>
  </r>
  <r>
    <s v="Ankit Rawat (1009093)"/>
    <x v="91"/>
    <x v="89"/>
    <d v="1899-12-30T04:33:25"/>
    <d v="1899-12-30T01:29:55"/>
    <n v="77"/>
    <n v="0.53210000000000002"/>
  </r>
  <r>
    <s v="Komal Bisht (1009094)"/>
    <x v="92"/>
    <x v="90"/>
    <d v="1899-12-30T05:03:55"/>
    <d v="1899-12-30T01:14:10"/>
    <n v="107"/>
    <n v="0.59099999999999997"/>
  </r>
  <r>
    <s v="Harshit Gupta (1009095)"/>
    <x v="93"/>
    <x v="91"/>
    <d v="1899-12-30T04:43:05"/>
    <d v="1899-12-30T01:47:40"/>
    <n v="84"/>
    <n v="0.54869999999999997"/>
  </r>
  <r>
    <s v="Muskan Sharma (1009096)"/>
    <x v="94"/>
    <x v="92"/>
    <d v="1899-12-30T05:00:05"/>
    <d v="1899-12-30T02:23:10"/>
    <n v="100"/>
    <n v="0.58679999999999999"/>
  </r>
  <r>
    <s v="Deepak Rana (1009097)"/>
    <x v="95"/>
    <x v="93"/>
    <d v="1899-12-30T04:31:15"/>
    <d v="1899-12-30T01:17:20"/>
    <n v="76"/>
    <n v="0.5292"/>
  </r>
  <r>
    <s v="Kritika Verma (1009098)"/>
    <x v="96"/>
    <x v="94"/>
    <d v="1899-12-30T05:03:10"/>
    <d v="1899-12-30T01:28:45"/>
    <n v="105"/>
    <n v="0.58979999999999999"/>
  </r>
  <r>
    <s v="Tarun Gupta (1009099)"/>
    <x v="97"/>
    <x v="95"/>
    <d v="1899-12-30T04:38:50"/>
    <d v="1899-12-30T01:17:20"/>
    <n v="81"/>
    <n v="0.54239999999999999"/>
  </r>
  <r>
    <s v="Rohit Sharma (1009100)"/>
    <x v="98"/>
    <x v="96"/>
    <d v="1899-12-30T05:05:35"/>
    <d v="1899-12-30T01:09:45"/>
    <n v="109"/>
    <n v="0.59470000000000001"/>
  </r>
  <r>
    <s v="Ananya Bisht (1009101)"/>
    <x v="99"/>
    <x v="97"/>
    <d v="1899-12-30T04:28:00"/>
    <d v="1899-12-30T01:17:40"/>
    <n v="73"/>
    <n v="0.52139999999999997"/>
  </r>
  <r>
    <s v="Nitin Sharma (1009102)"/>
    <x v="100"/>
    <x v="98"/>
    <d v="1899-12-30T04:55:50"/>
    <d v="1899-12-30T01:52:30"/>
    <n v="95"/>
    <n v="0.57820000000000005"/>
  </r>
  <r>
    <s v="Sakshi Gupta (1009103)"/>
    <x v="49"/>
    <x v="40"/>
    <d v="1899-12-30T04:34:10"/>
    <d v="1899-12-30T01:29:45"/>
    <n v="78"/>
    <n v="0.53349999999999997"/>
  </r>
  <r>
    <s v="Aakash Rawat (1009104)"/>
    <x v="101"/>
    <x v="99"/>
    <d v="1899-12-30T05:04:20"/>
    <d v="1899-12-30T01:12:00"/>
    <n v="108"/>
    <n v="0.59189999999999998"/>
  </r>
  <r>
    <s v="Priyanka Sharma (1009105)"/>
    <x v="102"/>
    <x v="100"/>
    <d v="1899-12-30T04:42:55"/>
    <d v="1899-12-30T01:17:50"/>
    <n v="83"/>
    <n v="0.54720000000000002"/>
  </r>
  <r>
    <s v="Aditi Bisht (1009106)"/>
    <x v="103"/>
    <x v="35"/>
    <d v="1899-12-30T05:00:30"/>
    <d v="1899-12-30T01:28:30"/>
    <n v="100"/>
    <n v="0.58579999999999999"/>
  </r>
  <r>
    <s v="Karan Sharma (1009107)"/>
    <x v="104"/>
    <x v="101"/>
    <d v="1899-12-30T04:30:40"/>
    <d v="1899-12-30T01:18:25"/>
    <n v="75"/>
    <n v="0.52780000000000005"/>
  </r>
  <r>
    <s v="Nisha Rawat (1009108)"/>
    <x v="105"/>
    <x v="102"/>
    <d v="1899-12-30T05:02:20"/>
    <d v="1899-12-30T01:19:35"/>
    <n v="103"/>
    <n v="0.58840000000000003"/>
  </r>
  <r>
    <s v="Aman Verma (1009109)"/>
    <x v="106"/>
    <x v="21"/>
    <d v="1899-12-30T04:37:20"/>
    <d v="1899-12-30T01:47:00"/>
    <n v="80"/>
    <n v="0.54020000000000001"/>
  </r>
  <r>
    <s v="Ritika Bisht (1009110)"/>
    <x v="107"/>
    <x v="103"/>
    <d v="1899-12-30T05:07:25"/>
    <d v="1899-12-30T01:30:05"/>
    <n v="111"/>
    <n v="0.59789999999999999"/>
  </r>
  <r>
    <s v="Mohit Sharma (1009111)"/>
    <x v="108"/>
    <x v="23"/>
    <d v="1899-12-30T04:28:50"/>
    <d v="1899-12-30T01:08:00"/>
    <n v="74"/>
    <n v="0.52300000000000002"/>
  </r>
  <r>
    <s v="Pooja Gupta (1009112)"/>
    <x v="109"/>
    <x v="104"/>
    <d v="1899-12-30T04:53:35"/>
    <d v="1899-12-30T01:17:55"/>
    <n v="94"/>
    <n v="0.57499999999999996"/>
  </r>
  <r>
    <s v="Vivek Rawat (1009113)"/>
    <x v="110"/>
    <x v="105"/>
    <d v="1899-12-30T04:33:10"/>
    <d v="1899-12-30T01:08:00"/>
    <n v="77"/>
    <n v="0.53180000000000005"/>
  </r>
  <r>
    <s v="Muskan Sharma (1009114)"/>
    <x v="94"/>
    <x v="106"/>
    <d v="1899-12-30T05:03:45"/>
    <d v="1899-12-30T01:14:10"/>
    <n v="107"/>
    <n v="0.59140000000000004"/>
  </r>
  <r>
    <s v="Ankit Bisht (1009115)"/>
    <x v="111"/>
    <x v="107"/>
    <d v="1899-12-30T04:42:40"/>
    <d v="1899-12-30T01:47:40"/>
    <n v="84"/>
    <n v="0.54800000000000004"/>
  </r>
  <r>
    <s v="Sneha Verma (1009116)"/>
    <x v="112"/>
    <x v="31"/>
    <d v="1899-12-30T05:00:55"/>
    <d v="1899-12-30T02:23:10"/>
    <n v="101"/>
    <n v="0.58730000000000004"/>
  </r>
  <r>
    <s v="Rahul Chauhan (1009117)"/>
    <x v="113"/>
    <x v="67"/>
    <d v="1899-12-30T04:31:05"/>
    <d v="1899-12-30T01:17:20"/>
    <n v="76"/>
    <n v="0.52890000000000004"/>
  </r>
  <r>
    <s v="Kajal Rana (1009118)"/>
    <x v="114"/>
    <x v="108"/>
    <d v="1899-12-30T05:02:50"/>
    <d v="1899-12-30T01:28:45"/>
    <n v="104"/>
    <n v="0.58909999999999996"/>
  </r>
  <r>
    <s v="Deepak Bisht (1009119)"/>
    <x v="115"/>
    <x v="109"/>
    <d v="1899-12-30T04:38:25"/>
    <d v="1899-12-30T01:17:20"/>
    <n v="81"/>
    <n v="0.54200000000000004"/>
  </r>
  <r>
    <s v="Riya Sharma (1009120)"/>
    <x v="116"/>
    <x v="110"/>
    <d v="1899-12-30T05:05:05"/>
    <d v="1899-12-30T01:09:45"/>
    <n v="109"/>
    <n v="0.59419999999999995"/>
  </r>
  <r>
    <s v="Harsh Verma (1009121)"/>
    <x v="117"/>
    <x v="111"/>
    <d v="1899-12-30T04:27:40"/>
    <d v="1899-12-30T01:17:40"/>
    <n v="73"/>
    <n v="0.52090000000000003"/>
  </r>
  <r>
    <s v="Sakshi Rana (1009122)"/>
    <x v="118"/>
    <x v="15"/>
    <d v="1899-12-30T04:55:25"/>
    <d v="1899-12-30T01:52:30"/>
    <n v="95"/>
    <n v="0.57779999999999998"/>
  </r>
  <r>
    <s v="Nitin Rawat (1009123)"/>
    <x v="119"/>
    <x v="59"/>
    <d v="1899-12-30T04:34:00"/>
    <d v="1899-12-30T01:29:45"/>
    <n v="78"/>
    <n v="0.53310000000000002"/>
  </r>
  <r>
    <s v="Komal Gupta (1009124)"/>
    <x v="120"/>
    <x v="112"/>
    <d v="1899-12-30T05:04:00"/>
    <d v="1899-12-30T01:12:00"/>
    <n v="108"/>
    <n v="0.59150000000000003"/>
  </r>
  <r>
    <s v="Arjun Sharma (1009125)"/>
    <x v="121"/>
    <x v="113"/>
    <d v="1899-12-30T04:42:20"/>
    <d v="1899-12-30T01:17:50"/>
    <n v="83"/>
    <n v="0.54679999999999995"/>
  </r>
  <r>
    <s v="Priya Bisht (1009126)"/>
    <x v="122"/>
    <x v="114"/>
    <d v="1899-12-30T05:00:10"/>
    <d v="1899-12-30T01:28:30"/>
    <n v="100"/>
    <n v="0.58530000000000004"/>
  </r>
  <r>
    <s v="Aakash Sharma (1009127)"/>
    <x v="123"/>
    <x v="87"/>
    <d v="1899-12-30T04:30:25"/>
    <d v="1899-12-30T01:18:25"/>
    <n v="75"/>
    <n v="0.52739999999999998"/>
  </r>
  <r>
    <s v="Neha Verma (1009128)"/>
    <x v="124"/>
    <x v="115"/>
    <d v="1899-12-30T05:02:00"/>
    <d v="1899-12-30T01:19:35"/>
    <n v="103"/>
    <n v="0.58799999999999997"/>
  </r>
  <r>
    <s v="Rohit Bisht (1009129)"/>
    <x v="125"/>
    <x v="116"/>
    <d v="1899-12-30T04:37:05"/>
    <d v="1899-12-30T01:47:00"/>
    <n v="80"/>
    <n v="0.53979999999999995"/>
  </r>
  <r>
    <s v="Muskan Rana (1009130)"/>
    <x v="126"/>
    <x v="117"/>
    <d v="1899-12-30T05:07:40"/>
    <d v="1899-12-30T01:30:05"/>
    <n v="112"/>
    <n v="0.59830000000000005"/>
  </r>
  <r>
    <s v="Harshit Sharma (1009131)"/>
    <x v="50"/>
    <x v="118"/>
    <d v="1899-12-30T04:28:35"/>
    <d v="1899-12-30T01:07:40"/>
    <n v="74"/>
    <n v="0.52270000000000005"/>
  </r>
  <r>
    <s v="Anjali Rawat (1009132)"/>
    <x v="51"/>
    <x v="119"/>
    <d v="1899-12-30T04:53:20"/>
    <d v="1899-12-30T01:18:05"/>
    <n v="94"/>
    <n v="0.5746"/>
  </r>
  <r>
    <s v="Vikas Gupta (1009133)"/>
    <x v="52"/>
    <x v="120"/>
    <d v="1899-12-30T04:32:55"/>
    <d v="1899-12-30T01:26:45"/>
    <n v="77"/>
    <n v="0.53139999999999998"/>
  </r>
  <r>
    <s v="Kritika Sharma (1009134)"/>
    <x v="53"/>
    <x v="121"/>
    <d v="1899-12-30T05:03:30"/>
    <d v="1899-12-30T01:13:40"/>
    <n v="107"/>
    <n v="0.59109999999999996"/>
  </r>
  <r>
    <s v="Mohit Rawat (1009135)"/>
    <x v="54"/>
    <x v="122"/>
    <d v="1899-12-30T04:42:05"/>
    <d v="1899-12-30T01:47:15"/>
    <n v="84"/>
    <n v="0.54759999999999998"/>
  </r>
  <r>
    <s v="Riya Verma (1009136)"/>
    <x v="55"/>
    <x v="123"/>
    <d v="1899-12-30T05:01:15"/>
    <d v="1899-12-30T02:21:15"/>
    <n v="102"/>
    <n v="0.58779999999999999"/>
  </r>
  <r>
    <s v="Tarun Bisht (1009137)"/>
    <x v="56"/>
    <x v="124"/>
    <d v="1899-12-30T04:30:50"/>
    <d v="1899-12-30T01:17:05"/>
    <n v="76"/>
    <n v="0.52839999999999998"/>
  </r>
  <r>
    <s v="Pallavi Sharma (1009138)"/>
    <x v="57"/>
    <x v="94"/>
    <d v="1899-12-30T05:03:05"/>
    <d v="1899-12-30T01:27:55"/>
    <n v="105"/>
    <n v="0.59"/>
  </r>
  <r>
    <s v="Nitin Rana (1009139)"/>
    <x v="58"/>
    <x v="125"/>
    <d v="1899-12-30T04:38:40"/>
    <d v="1899-12-30T01:17:15"/>
    <n v="81"/>
    <n v="0.54220000000000002"/>
  </r>
  <r>
    <s v="Sonia Gupta (1009140)"/>
    <x v="59"/>
    <x v="126"/>
    <d v="1899-12-30T05:05:25"/>
    <d v="1899-12-30T01:09:30"/>
    <n v="110"/>
    <n v="0.59560000000000002"/>
  </r>
  <r>
    <s v="Deepak Sharma (1009141)"/>
    <x v="60"/>
    <x v="127"/>
    <d v="1899-12-30T04:28:05"/>
    <d v="1899-12-30T01:16:55"/>
    <n v="73"/>
    <n v="0.52129999999999999"/>
  </r>
  <r>
    <s v="Kajal Rawat (1009142)"/>
    <x v="61"/>
    <x v="128"/>
    <d v="1899-12-30T04:55:40"/>
    <d v="1899-12-30T01:51:45"/>
    <n v="95"/>
    <n v="0.57840000000000003"/>
  </r>
  <r>
    <s v="Rahul Verma (1009143)"/>
    <x v="62"/>
    <x v="129"/>
    <d v="1899-12-30T04:34:25"/>
    <d v="1899-12-30T01:29:55"/>
    <n v="78"/>
    <n v="0.53410000000000002"/>
  </r>
  <r>
    <s v="Sneha Bisht (1009144)"/>
    <x v="63"/>
    <x v="130"/>
    <d v="1899-12-30T05:03:40"/>
    <d v="1899-12-30T01:11:50"/>
    <n v="107"/>
    <n v="0.59119999999999995"/>
  </r>
  <r>
    <s v="Arjun Rana (1009145)"/>
    <x v="64"/>
    <x v="131"/>
    <d v="1899-12-30T04:42:50"/>
    <d v="1899-12-30T01:17:55"/>
    <n v="84"/>
    <n v="0.54879999999999995"/>
  </r>
  <r>
    <s v="Ananya Gupta (1009146)"/>
    <x v="65"/>
    <x v="132"/>
    <d v="1899-12-30T05:00:25"/>
    <d v="1899-12-30T01:51:45"/>
    <n v="100"/>
    <n v="0.58589999999999998"/>
  </r>
  <r>
    <s v="Vivek Sharma (1009147)"/>
    <x v="66"/>
    <x v="133"/>
    <d v="1899-12-30T04:30:30"/>
    <d v="1899-12-30T01:18:20"/>
    <n v="75"/>
    <n v="0.52759999999999996"/>
  </r>
  <r>
    <s v="Ritika Rawat (1009148)"/>
    <x v="67"/>
    <x v="134"/>
    <d v="1899-12-30T05:02:15"/>
    <d v="1899-12-30T01:19:25"/>
    <n v="103"/>
    <n v="0.58850000000000002"/>
  </r>
  <r>
    <s v="Mohit Gupta (1009149)"/>
    <x v="68"/>
    <x v="135"/>
    <d v="1899-12-30T04:37:15"/>
    <d v="1899-12-30T01:51:45"/>
    <n v="80"/>
    <n v="0.54010000000000002"/>
  </r>
  <r>
    <s v="Sakshi Verma (1009150)"/>
    <x v="69"/>
    <x v="136"/>
    <d v="1899-12-30T05:07:30"/>
    <d v="1899-12-30T01:30:00"/>
    <n v="112"/>
    <n v="0.598600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DF5CFA-BE7B-4812-8FE9-B69750C26DF0}" name="PivotTable3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F4:G7" firstHeaderRow="1" firstDataRow="1" firstDataCol="1"/>
  <pivotFields count="10">
    <pivotField showAll="0"/>
    <pivotField axis="axisRow" showAll="0" measureFilter="1">
      <items count="128">
        <item x="35"/>
        <item x="101"/>
        <item x="123"/>
        <item x="31"/>
        <item x="103"/>
        <item x="84"/>
        <item x="14"/>
        <item x="17"/>
        <item x="72"/>
        <item x="2"/>
        <item x="106"/>
        <item x="99"/>
        <item x="65"/>
        <item x="45"/>
        <item x="5"/>
        <item x="51"/>
        <item x="111"/>
        <item x="25"/>
        <item x="82"/>
        <item x="91"/>
        <item x="12"/>
        <item x="64"/>
        <item x="121"/>
        <item x="115"/>
        <item x="8"/>
        <item x="95"/>
        <item x="60"/>
        <item x="77"/>
        <item x="15"/>
        <item x="70"/>
        <item x="117"/>
        <item x="93"/>
        <item x="50"/>
        <item x="20"/>
        <item x="114"/>
        <item x="61"/>
        <item x="81"/>
        <item x="6"/>
        <item x="74"/>
        <item x="104"/>
        <item x="47"/>
        <item x="92"/>
        <item x="120"/>
        <item x="76"/>
        <item x="32"/>
        <item x="42"/>
        <item x="53"/>
        <item x="96"/>
        <item x="43"/>
        <item x="21"/>
        <item x="38"/>
        <item x="68"/>
        <item x="10"/>
        <item x="48"/>
        <item x="54"/>
        <item x="108"/>
        <item x="87"/>
        <item x="26"/>
        <item x="75"/>
        <item x="126"/>
        <item x="94"/>
        <item x="3"/>
        <item x="124"/>
        <item x="36"/>
        <item x="73"/>
        <item x="11"/>
        <item x="105"/>
        <item x="58"/>
        <item x="119"/>
        <item x="100"/>
        <item x="19"/>
        <item x="88"/>
        <item x="22"/>
        <item x="57"/>
        <item x="109"/>
        <item x="7"/>
        <item x="40"/>
        <item x="71"/>
        <item x="122"/>
        <item x="83"/>
        <item x="1"/>
        <item x="102"/>
        <item x="46"/>
        <item x="113"/>
        <item x="89"/>
        <item x="0"/>
        <item x="62"/>
        <item x="41"/>
        <item x="107"/>
        <item x="67"/>
        <item x="18"/>
        <item x="86"/>
        <item x="30"/>
        <item x="116"/>
        <item x="55"/>
        <item x="125"/>
        <item x="80"/>
        <item x="4"/>
        <item x="33"/>
        <item x="98"/>
        <item x="49"/>
        <item x="118"/>
        <item x="9"/>
        <item x="69"/>
        <item x="27"/>
        <item x="24"/>
        <item x="16"/>
        <item x="63"/>
        <item x="44"/>
        <item x="79"/>
        <item x="90"/>
        <item x="112"/>
        <item x="59"/>
        <item x="34"/>
        <item x="28"/>
        <item x="56"/>
        <item x="39"/>
        <item x="97"/>
        <item x="78"/>
        <item x="23"/>
        <item x="52"/>
        <item x="85"/>
        <item x="13"/>
        <item x="37"/>
        <item x="110"/>
        <item x="66"/>
        <item x="29"/>
        <item t="default"/>
      </items>
    </pivotField>
    <pivotField numFmtId="46" showAll="0">
      <items count="138">
        <item x="5"/>
        <item x="4"/>
        <item x="19"/>
        <item x="13"/>
        <item x="25"/>
        <item x="11"/>
        <item x="30"/>
        <item x="38"/>
        <item x="17"/>
        <item x="57"/>
        <item x="111"/>
        <item x="97"/>
        <item x="127"/>
        <item x="77"/>
        <item x="118"/>
        <item x="48"/>
        <item x="23"/>
        <item x="87"/>
        <item x="63"/>
        <item x="133"/>
        <item x="101"/>
        <item x="32"/>
        <item x="83"/>
        <item x="67"/>
        <item x="124"/>
        <item x="93"/>
        <item x="53"/>
        <item x="73"/>
        <item x="44"/>
        <item x="120"/>
        <item x="69"/>
        <item x="105"/>
        <item x="26"/>
        <item x="89"/>
        <item x="59"/>
        <item x="40"/>
        <item x="129"/>
        <item x="79"/>
        <item x="116"/>
        <item x="50"/>
        <item x="21"/>
        <item x="135"/>
        <item x="85"/>
        <item x="65"/>
        <item x="3"/>
        <item x="36"/>
        <item x="46"/>
        <item x="109"/>
        <item x="55"/>
        <item x="95"/>
        <item x="125"/>
        <item x="75"/>
        <item x="10"/>
        <item x="28"/>
        <item x="122"/>
        <item x="42"/>
        <item x="113"/>
        <item x="81"/>
        <item x="16"/>
        <item x="100"/>
        <item x="107"/>
        <item x="61"/>
        <item x="91"/>
        <item x="131"/>
        <item x="71"/>
        <item x="34"/>
        <item x="51"/>
        <item x="8"/>
        <item x="12"/>
        <item x="22"/>
        <item x="52"/>
        <item x="1"/>
        <item x="0"/>
        <item x="119"/>
        <item x="29"/>
        <item x="104"/>
        <item x="88"/>
        <item x="6"/>
        <item x="68"/>
        <item x="2"/>
        <item x="14"/>
        <item x="58"/>
        <item x="15"/>
        <item x="98"/>
        <item x="128"/>
        <item x="39"/>
        <item x="78"/>
        <item x="49"/>
        <item x="114"/>
        <item x="18"/>
        <item x="82"/>
        <item x="132"/>
        <item x="35"/>
        <item x="72"/>
        <item x="62"/>
        <item x="31"/>
        <item x="92"/>
        <item x="123"/>
        <item x="45"/>
        <item x="115"/>
        <item x="64"/>
        <item x="24"/>
        <item x="134"/>
        <item x="102"/>
        <item x="84"/>
        <item x="54"/>
        <item x="108"/>
        <item x="43"/>
        <item x="94"/>
        <item x="121"/>
        <item x="74"/>
        <item x="106"/>
        <item x="130"/>
        <item x="90"/>
        <item x="41"/>
        <item x="70"/>
        <item x="112"/>
        <item x="9"/>
        <item x="80"/>
        <item x="33"/>
        <item x="99"/>
        <item x="60"/>
        <item x="27"/>
        <item x="37"/>
        <item x="110"/>
        <item x="96"/>
        <item x="126"/>
        <item x="56"/>
        <item x="76"/>
        <item x="66"/>
        <item x="47"/>
        <item x="86"/>
        <item x="20"/>
        <item x="103"/>
        <item x="136"/>
        <item x="117"/>
        <item x="7"/>
        <item t="default"/>
      </items>
    </pivotField>
    <pivotField numFmtId="46" showAll="0"/>
    <pivotField numFmtId="46" showAll="0"/>
    <pivotField showAll="0"/>
    <pivotField dataField="1" numFmtId="164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3">
    <i>
      <x v="46"/>
    </i>
    <i>
      <x v="103"/>
    </i>
    <i>
      <x v="112"/>
    </i>
  </rowItems>
  <colItems count="1">
    <i/>
  </colItems>
  <dataFields count="1">
    <dataField name="Sum of Active with customer" fld="6" baseField="0" baseItem="0" numFmtId="164"/>
  </dataField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03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C4BF01-DA5C-4119-BDF1-973059361D0C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A4:B8" firstHeaderRow="1" firstDataRow="1" firstDataCol="1"/>
  <pivotFields count="10">
    <pivotField showAll="0"/>
    <pivotField axis="axisRow" showAll="0" measureFilter="1">
      <items count="128">
        <item x="35"/>
        <item x="101"/>
        <item x="123"/>
        <item x="31"/>
        <item x="103"/>
        <item x="84"/>
        <item x="14"/>
        <item x="17"/>
        <item x="72"/>
        <item x="2"/>
        <item x="106"/>
        <item x="99"/>
        <item x="65"/>
        <item x="45"/>
        <item x="5"/>
        <item x="51"/>
        <item x="111"/>
        <item x="25"/>
        <item x="82"/>
        <item x="91"/>
        <item x="12"/>
        <item x="64"/>
        <item x="121"/>
        <item x="115"/>
        <item x="8"/>
        <item x="95"/>
        <item x="60"/>
        <item x="77"/>
        <item x="15"/>
        <item x="70"/>
        <item x="117"/>
        <item x="93"/>
        <item x="50"/>
        <item x="20"/>
        <item x="114"/>
        <item x="61"/>
        <item x="81"/>
        <item x="6"/>
        <item x="74"/>
        <item x="104"/>
        <item x="47"/>
        <item x="92"/>
        <item x="120"/>
        <item x="76"/>
        <item x="32"/>
        <item x="42"/>
        <item x="53"/>
        <item x="96"/>
        <item x="43"/>
        <item x="21"/>
        <item x="38"/>
        <item x="68"/>
        <item x="10"/>
        <item x="48"/>
        <item x="54"/>
        <item x="108"/>
        <item x="87"/>
        <item x="26"/>
        <item x="75"/>
        <item x="126"/>
        <item x="94"/>
        <item x="3"/>
        <item x="124"/>
        <item x="36"/>
        <item x="73"/>
        <item x="11"/>
        <item x="105"/>
        <item x="58"/>
        <item x="119"/>
        <item x="100"/>
        <item x="19"/>
        <item x="88"/>
        <item x="22"/>
        <item x="57"/>
        <item x="109"/>
        <item x="7"/>
        <item x="40"/>
        <item x="71"/>
        <item x="122"/>
        <item x="83"/>
        <item x="1"/>
        <item x="102"/>
        <item x="46"/>
        <item x="113"/>
        <item x="89"/>
        <item x="0"/>
        <item x="62"/>
        <item x="41"/>
        <item x="107"/>
        <item x="67"/>
        <item x="18"/>
        <item x="86"/>
        <item x="30"/>
        <item x="116"/>
        <item x="55"/>
        <item x="125"/>
        <item x="80"/>
        <item x="4"/>
        <item x="33"/>
        <item x="98"/>
        <item x="49"/>
        <item x="118"/>
        <item x="9"/>
        <item x="69"/>
        <item x="27"/>
        <item x="24"/>
        <item x="16"/>
        <item x="63"/>
        <item x="44"/>
        <item x="79"/>
        <item x="90"/>
        <item x="112"/>
        <item x="59"/>
        <item x="34"/>
        <item x="28"/>
        <item x="56"/>
        <item x="39"/>
        <item x="97"/>
        <item x="78"/>
        <item x="23"/>
        <item x="52"/>
        <item x="85"/>
        <item x="13"/>
        <item x="37"/>
        <item x="110"/>
        <item x="66"/>
        <item x="29"/>
        <item t="default"/>
      </items>
    </pivotField>
    <pivotField dataField="1" numFmtId="46" showAll="0">
      <items count="138">
        <item x="5"/>
        <item x="4"/>
        <item x="19"/>
        <item x="13"/>
        <item x="25"/>
        <item x="11"/>
        <item x="30"/>
        <item x="38"/>
        <item x="17"/>
        <item x="57"/>
        <item x="111"/>
        <item x="97"/>
        <item x="127"/>
        <item x="77"/>
        <item x="118"/>
        <item x="48"/>
        <item x="23"/>
        <item x="87"/>
        <item x="63"/>
        <item x="133"/>
        <item x="101"/>
        <item x="32"/>
        <item x="83"/>
        <item x="67"/>
        <item x="124"/>
        <item x="93"/>
        <item x="53"/>
        <item x="73"/>
        <item x="44"/>
        <item x="120"/>
        <item x="69"/>
        <item x="105"/>
        <item x="26"/>
        <item x="89"/>
        <item x="59"/>
        <item x="40"/>
        <item x="129"/>
        <item x="79"/>
        <item x="116"/>
        <item x="50"/>
        <item x="21"/>
        <item x="135"/>
        <item x="85"/>
        <item x="65"/>
        <item x="3"/>
        <item x="36"/>
        <item x="46"/>
        <item x="109"/>
        <item x="55"/>
        <item x="95"/>
        <item x="125"/>
        <item x="75"/>
        <item x="10"/>
        <item x="28"/>
        <item x="122"/>
        <item x="42"/>
        <item x="113"/>
        <item x="81"/>
        <item x="16"/>
        <item x="100"/>
        <item x="107"/>
        <item x="61"/>
        <item x="91"/>
        <item x="131"/>
        <item x="71"/>
        <item x="34"/>
        <item x="51"/>
        <item x="8"/>
        <item x="12"/>
        <item x="22"/>
        <item x="52"/>
        <item x="1"/>
        <item x="0"/>
        <item x="119"/>
        <item x="29"/>
        <item x="104"/>
        <item x="88"/>
        <item x="6"/>
        <item x="68"/>
        <item x="2"/>
        <item x="14"/>
        <item x="58"/>
        <item x="15"/>
        <item x="98"/>
        <item x="128"/>
        <item x="39"/>
        <item x="78"/>
        <item x="49"/>
        <item x="114"/>
        <item x="18"/>
        <item x="82"/>
        <item x="132"/>
        <item x="35"/>
        <item x="72"/>
        <item x="62"/>
        <item x="31"/>
        <item x="92"/>
        <item x="123"/>
        <item x="45"/>
        <item x="115"/>
        <item x="64"/>
        <item x="24"/>
        <item x="134"/>
        <item x="102"/>
        <item x="84"/>
        <item x="54"/>
        <item x="108"/>
        <item x="43"/>
        <item x="94"/>
        <item x="121"/>
        <item x="74"/>
        <item x="106"/>
        <item x="130"/>
        <item x="90"/>
        <item x="41"/>
        <item x="70"/>
        <item x="112"/>
        <item x="9"/>
        <item x="80"/>
        <item x="33"/>
        <item x="99"/>
        <item x="60"/>
        <item x="27"/>
        <item x="37"/>
        <item x="110"/>
        <item x="96"/>
        <item x="126"/>
        <item x="56"/>
        <item x="76"/>
        <item x="66"/>
        <item x="47"/>
        <item x="86"/>
        <item x="20"/>
        <item x="103"/>
        <item x="136"/>
        <item x="117"/>
        <item x="7"/>
        <item t="default"/>
      </items>
    </pivotField>
    <pivotField numFmtId="46" showAll="0"/>
    <pivotField numFmtId="46" showAll="0"/>
    <pivotField showAll="0"/>
    <pivotField numFmtId="164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4">
    <i>
      <x v="46"/>
    </i>
    <i>
      <x v="103"/>
    </i>
    <i>
      <x v="107"/>
    </i>
    <i>
      <x v="112"/>
    </i>
  </rowItems>
  <colItems count="1">
    <i/>
  </colItems>
  <dataFields count="1">
    <dataField name="Sum of Total number of wor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91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FA01F-C5DF-4381-B920-1C4EF6F944B1}">
  <sheetPr codeName="Sheet1"/>
  <dimension ref="A1:I151"/>
  <sheetViews>
    <sheetView workbookViewId="0">
      <selection sqref="A1:I1048576"/>
    </sheetView>
  </sheetViews>
  <sheetFormatPr defaultRowHeight="14.4" x14ac:dyDescent="0.3"/>
  <cols>
    <col min="1" max="1" width="21.6640625" bestFit="1" customWidth="1"/>
    <col min="2" max="2" width="7.109375" bestFit="1" customWidth="1"/>
    <col min="3" max="3" width="12.44140625" bestFit="1" customWidth="1"/>
    <col min="4" max="4" width="9.33203125" customWidth="1"/>
    <col min="6" max="6" width="8" bestFit="1" customWidth="1"/>
    <col min="7" max="7" width="15.109375" bestFit="1" customWidth="1"/>
    <col min="8" max="8" width="10.77734375" bestFit="1" customWidth="1"/>
    <col min="9" max="9" width="16.109375" bestFit="1" customWidth="1"/>
  </cols>
  <sheetData>
    <row r="1" spans="1: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">
      <c r="A2" t="s">
        <v>23</v>
      </c>
      <c r="B2" s="2">
        <v>2.6909722222222224E-2</v>
      </c>
      <c r="C2" s="2">
        <v>1.9675925925925927E-2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4.6585648148148147E-2</v>
      </c>
    </row>
    <row r="3" spans="1:9" x14ac:dyDescent="0.3">
      <c r="A3" t="s">
        <v>24</v>
      </c>
      <c r="B3" s="2">
        <v>2.7916666666666666E-2</v>
      </c>
      <c r="C3" s="2">
        <v>2.0312500000000001E-2</v>
      </c>
      <c r="D3" s="2">
        <v>0</v>
      </c>
      <c r="E3" s="2">
        <v>0</v>
      </c>
      <c r="F3" s="2">
        <v>0</v>
      </c>
      <c r="G3" s="2">
        <v>3.8194444444444443E-3</v>
      </c>
      <c r="H3" s="2">
        <v>0</v>
      </c>
      <c r="I3" s="2">
        <v>5.2048611111111108E-2</v>
      </c>
    </row>
    <row r="4" spans="1:9" x14ac:dyDescent="0.3">
      <c r="A4" t="s">
        <v>25</v>
      </c>
      <c r="B4" s="2">
        <v>2.7662037037037037E-2</v>
      </c>
      <c r="C4" s="2">
        <v>1.7881944444444443E-2</v>
      </c>
      <c r="D4" s="2">
        <v>8.564814814814815E-3</v>
      </c>
      <c r="E4" s="2">
        <v>0</v>
      </c>
      <c r="F4" s="2">
        <v>0</v>
      </c>
      <c r="G4" s="2">
        <v>0</v>
      </c>
      <c r="H4" s="2">
        <v>0</v>
      </c>
      <c r="I4" s="2">
        <v>5.4108796296296294E-2</v>
      </c>
    </row>
    <row r="5" spans="1:9" x14ac:dyDescent="0.3">
      <c r="A5" t="s">
        <v>26</v>
      </c>
      <c r="B5" s="2">
        <v>2.6099537037037036E-2</v>
      </c>
      <c r="C5" s="2">
        <v>2.0810185185185185E-2</v>
      </c>
      <c r="D5" s="2">
        <v>0</v>
      </c>
      <c r="E5" s="2">
        <v>0</v>
      </c>
      <c r="F5" s="2">
        <v>1.2789351851851852E-2</v>
      </c>
      <c r="G5" s="2">
        <v>0</v>
      </c>
      <c r="H5" s="2">
        <v>0</v>
      </c>
      <c r="I5" s="2">
        <v>5.9699074074074071E-2</v>
      </c>
    </row>
    <row r="6" spans="1:9" x14ac:dyDescent="0.3">
      <c r="A6" t="s">
        <v>27</v>
      </c>
      <c r="B6" s="2">
        <v>2.9282407407407406E-2</v>
      </c>
      <c r="C6" s="2">
        <v>1.712962962962963E-2</v>
      </c>
      <c r="D6" s="2">
        <v>0</v>
      </c>
      <c r="E6" s="2">
        <v>0</v>
      </c>
      <c r="F6" s="2">
        <v>0</v>
      </c>
      <c r="G6" s="2">
        <v>5.6944444444444447E-3</v>
      </c>
      <c r="H6" s="2">
        <v>0</v>
      </c>
      <c r="I6" s="2">
        <v>5.2106481481481483E-2</v>
      </c>
    </row>
    <row r="7" spans="1:9" x14ac:dyDescent="0.3">
      <c r="A7" t="s">
        <v>28</v>
      </c>
      <c r="B7" s="2">
        <v>2.7141203703703702E-2</v>
      </c>
      <c r="C7" s="2">
        <v>1.9039351851851852E-2</v>
      </c>
      <c r="D7" s="2">
        <v>0</v>
      </c>
      <c r="E7" s="2">
        <v>2.4479166666666666E-2</v>
      </c>
      <c r="F7" s="2">
        <v>0</v>
      </c>
      <c r="G7" s="2">
        <v>0</v>
      </c>
      <c r="H7" s="2">
        <v>0</v>
      </c>
      <c r="I7" s="2">
        <v>7.0659722222222221E-2</v>
      </c>
    </row>
    <row r="8" spans="1:9" x14ac:dyDescent="0.3">
      <c r="A8" t="s">
        <v>29</v>
      </c>
      <c r="B8" s="2">
        <v>2.9050925925925924E-2</v>
      </c>
      <c r="C8" s="2">
        <v>2.0254629629629629E-2</v>
      </c>
      <c r="D8" s="2">
        <v>0</v>
      </c>
      <c r="E8" s="2">
        <v>0</v>
      </c>
      <c r="F8" s="2">
        <v>0</v>
      </c>
      <c r="G8" s="2">
        <v>0</v>
      </c>
      <c r="H8" s="2">
        <v>4.5393518518518521E-2</v>
      </c>
      <c r="I8" s="2">
        <v>9.4699074074074074E-2</v>
      </c>
    </row>
    <row r="9" spans="1:9" x14ac:dyDescent="0.3">
      <c r="A9" t="s">
        <v>30</v>
      </c>
      <c r="B9" s="2">
        <v>2.7025462962962963E-2</v>
      </c>
      <c r="C9" s="2">
        <v>1.8518518518518517E-2</v>
      </c>
      <c r="D9" s="2">
        <v>6.4814814814814813E-3</v>
      </c>
      <c r="E9" s="2">
        <v>0</v>
      </c>
      <c r="F9" s="2">
        <v>0</v>
      </c>
      <c r="G9" s="2">
        <v>0</v>
      </c>
      <c r="H9" s="2">
        <v>0</v>
      </c>
      <c r="I9" s="2">
        <v>5.2025462962962961E-2</v>
      </c>
    </row>
    <row r="10" spans="1:9" x14ac:dyDescent="0.3">
      <c r="A10" t="s">
        <v>31</v>
      </c>
      <c r="B10" s="2">
        <v>2.8067129629629629E-2</v>
      </c>
      <c r="C10" s="2">
        <v>1.9618055555555555E-2</v>
      </c>
      <c r="D10" s="2">
        <v>0</v>
      </c>
      <c r="E10" s="2">
        <v>0</v>
      </c>
      <c r="F10" s="2">
        <v>1.5393518518518518E-2</v>
      </c>
      <c r="G10" s="2">
        <v>0</v>
      </c>
      <c r="H10" s="2">
        <v>0</v>
      </c>
      <c r="I10" s="2">
        <v>6.3078703703703706E-2</v>
      </c>
    </row>
    <row r="11" spans="1:9" x14ac:dyDescent="0.3">
      <c r="A11" t="s">
        <v>32</v>
      </c>
      <c r="B11" s="2">
        <v>2.5462962962962962E-2</v>
      </c>
      <c r="C11" s="2">
        <v>1.7766203703703704E-2</v>
      </c>
      <c r="D11" s="2">
        <v>0</v>
      </c>
      <c r="E11" s="2">
        <v>0</v>
      </c>
      <c r="F11" s="2">
        <v>0</v>
      </c>
      <c r="G11" s="2">
        <v>7.1180555555555554E-3</v>
      </c>
      <c r="H11" s="2">
        <v>0</v>
      </c>
      <c r="I11" s="2">
        <v>5.0347222222222224E-2</v>
      </c>
    </row>
    <row r="12" spans="1:9" x14ac:dyDescent="0.3">
      <c r="A12" t="s">
        <v>33</v>
      </c>
      <c r="B12" s="2">
        <v>2.991898148148148E-2</v>
      </c>
      <c r="C12" s="2">
        <v>2.0717592592592593E-2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5.0636574074074077E-2</v>
      </c>
    </row>
    <row r="13" spans="1:9" x14ac:dyDescent="0.3">
      <c r="A13" t="s">
        <v>34</v>
      </c>
      <c r="B13" s="2">
        <v>2.7604166666666666E-2</v>
      </c>
      <c r="C13" s="2">
        <v>1.6203703703703703E-2</v>
      </c>
      <c r="D13" s="2">
        <v>1.0127314814814815E-2</v>
      </c>
      <c r="E13" s="2">
        <v>0</v>
      </c>
      <c r="F13" s="2">
        <v>0</v>
      </c>
      <c r="G13" s="2">
        <v>0</v>
      </c>
      <c r="H13" s="2">
        <v>0</v>
      </c>
      <c r="I13" s="2">
        <v>5.3935185185185183E-2</v>
      </c>
    </row>
    <row r="14" spans="1:9" x14ac:dyDescent="0.3">
      <c r="A14" t="s">
        <v>35</v>
      </c>
      <c r="B14" s="2">
        <v>2.6331018518518517E-2</v>
      </c>
      <c r="C14" s="2">
        <v>1.9907407407407408E-2</v>
      </c>
      <c r="D14" s="2">
        <v>0</v>
      </c>
      <c r="E14" s="2">
        <v>2.9340277777777778E-2</v>
      </c>
      <c r="F14" s="2">
        <v>0</v>
      </c>
      <c r="G14" s="2">
        <v>0</v>
      </c>
      <c r="H14" s="2">
        <v>0</v>
      </c>
      <c r="I14" s="2">
        <v>7.5578703703703703E-2</v>
      </c>
    </row>
    <row r="15" spans="1:9" x14ac:dyDescent="0.3">
      <c r="A15" t="s">
        <v>36</v>
      </c>
      <c r="B15" s="2">
        <v>2.8819444444444446E-2</v>
      </c>
      <c r="C15" s="2">
        <v>2.0196759259259258E-2</v>
      </c>
      <c r="D15" s="2">
        <v>0</v>
      </c>
      <c r="E15" s="2">
        <v>0</v>
      </c>
      <c r="F15" s="2">
        <v>1.0706018518518519E-2</v>
      </c>
      <c r="G15" s="2">
        <v>0</v>
      </c>
      <c r="H15" s="2">
        <v>0</v>
      </c>
      <c r="I15" s="2">
        <v>7.6377314814814815E-2</v>
      </c>
    </row>
    <row r="16" spans="1:9" x14ac:dyDescent="0.3">
      <c r="A16" t="s">
        <v>37</v>
      </c>
      <c r="B16" s="2">
        <v>2.6620370370370371E-2</v>
      </c>
      <c r="C16" s="2">
        <v>1.863425925925926E-2</v>
      </c>
      <c r="D16" s="2">
        <v>0</v>
      </c>
      <c r="E16" s="2">
        <v>0</v>
      </c>
      <c r="F16" s="2">
        <v>0</v>
      </c>
      <c r="G16" s="2">
        <v>4.6296296296296294E-3</v>
      </c>
      <c r="H16" s="2">
        <v>0</v>
      </c>
      <c r="I16" s="2">
        <v>4.988425925925926E-2</v>
      </c>
    </row>
    <row r="17" spans="1:9" x14ac:dyDescent="0.3">
      <c r="A17" t="s">
        <v>38</v>
      </c>
      <c r="B17" s="1">
        <v>2.7199074074074073E-2</v>
      </c>
      <c r="C17" s="1">
        <v>1.9733796296296298E-2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4.6932870370370368E-2</v>
      </c>
    </row>
    <row r="18" spans="1:9" x14ac:dyDescent="0.3">
      <c r="A18" t="s">
        <v>39</v>
      </c>
      <c r="B18" s="1">
        <v>2.8993055555555557E-2</v>
      </c>
      <c r="C18" s="1">
        <v>1.7708333333333333E-2</v>
      </c>
      <c r="D18" s="1">
        <v>8.5069444444444437E-3</v>
      </c>
      <c r="E18" s="1">
        <v>0</v>
      </c>
      <c r="F18" s="1">
        <v>0</v>
      </c>
      <c r="G18" s="1">
        <v>0</v>
      </c>
      <c r="H18" s="1">
        <v>0</v>
      </c>
      <c r="I18" s="1">
        <v>5.5208333333333331E-2</v>
      </c>
    </row>
    <row r="19" spans="1:9" x14ac:dyDescent="0.3">
      <c r="A19" t="s">
        <v>40</v>
      </c>
      <c r="B19" s="1">
        <v>2.6620370370370371E-2</v>
      </c>
      <c r="C19" s="1">
        <v>2.060185185185185E-2</v>
      </c>
      <c r="D19" s="1">
        <v>0</v>
      </c>
      <c r="E19" s="1">
        <v>0</v>
      </c>
      <c r="F19" s="1">
        <v>1.3078703703703703E-2</v>
      </c>
      <c r="G19" s="1">
        <v>0</v>
      </c>
      <c r="H19" s="1">
        <v>0</v>
      </c>
      <c r="I19" s="1">
        <v>6.0300925925925924E-2</v>
      </c>
    </row>
    <row r="20" spans="1:9" x14ac:dyDescent="0.3">
      <c r="A20" t="s">
        <v>41</v>
      </c>
      <c r="B20" s="1">
        <v>2.8182870370370372E-2</v>
      </c>
      <c r="C20" s="1">
        <v>1.7303240740740741E-2</v>
      </c>
      <c r="D20" s="1">
        <v>0</v>
      </c>
      <c r="E20" s="1">
        <v>0</v>
      </c>
      <c r="F20" s="1">
        <v>0</v>
      </c>
      <c r="G20" s="1">
        <v>4.6296296296296294E-3</v>
      </c>
      <c r="H20" s="1">
        <v>0</v>
      </c>
      <c r="I20" s="1">
        <v>5.0115740740740738E-2</v>
      </c>
    </row>
    <row r="21" spans="1:9" x14ac:dyDescent="0.3">
      <c r="A21" t="s">
        <v>42</v>
      </c>
      <c r="B21" s="1">
        <v>2.627314814814815E-2</v>
      </c>
      <c r="C21" s="1">
        <v>1.8981481481481481E-2</v>
      </c>
      <c r="D21" s="1">
        <v>0</v>
      </c>
      <c r="E21" s="1">
        <v>2.7256944444444445E-2</v>
      </c>
      <c r="F21" s="1">
        <v>0</v>
      </c>
      <c r="G21" s="1">
        <v>0</v>
      </c>
      <c r="H21" s="1">
        <v>0</v>
      </c>
      <c r="I21" s="1">
        <v>7.2511574074074076E-2</v>
      </c>
    </row>
    <row r="22" spans="1:9" x14ac:dyDescent="0.3">
      <c r="A22" t="s">
        <v>43</v>
      </c>
      <c r="B22" s="1">
        <v>2.9282407407407406E-2</v>
      </c>
      <c r="C22" s="1">
        <v>2.0196759259259258E-2</v>
      </c>
      <c r="D22" s="1">
        <v>0</v>
      </c>
      <c r="E22" s="1">
        <v>0</v>
      </c>
      <c r="F22" s="1">
        <v>0</v>
      </c>
      <c r="G22" s="1">
        <v>0</v>
      </c>
      <c r="H22" s="1">
        <v>4.7453703703703706E-2</v>
      </c>
      <c r="I22" s="1">
        <v>9.6932870370370364E-2</v>
      </c>
    </row>
    <row r="23" spans="1:9" x14ac:dyDescent="0.3">
      <c r="A23" t="s">
        <v>44</v>
      </c>
      <c r="B23" s="1">
        <v>2.7372685185185184E-2</v>
      </c>
      <c r="C23" s="1">
        <v>1.7534722222222222E-2</v>
      </c>
      <c r="D23" s="1">
        <v>7.5231481481481477E-3</v>
      </c>
      <c r="E23" s="1">
        <v>0</v>
      </c>
      <c r="F23" s="1">
        <v>0</v>
      </c>
      <c r="G23" s="1">
        <v>0</v>
      </c>
      <c r="H23" s="1">
        <v>0</v>
      </c>
      <c r="I23" s="1">
        <v>5.2430555555555557E-2</v>
      </c>
    </row>
    <row r="24" spans="1:9" x14ac:dyDescent="0.3">
      <c r="A24" t="s">
        <v>45</v>
      </c>
      <c r="B24" s="1">
        <v>2.6909722222222224E-2</v>
      </c>
      <c r="C24" s="1">
        <v>2.0023148148148148E-2</v>
      </c>
      <c r="D24" s="1">
        <v>0</v>
      </c>
      <c r="E24" s="1">
        <v>0</v>
      </c>
      <c r="F24" s="1">
        <v>1.4293981481481482E-2</v>
      </c>
      <c r="G24" s="1">
        <v>0</v>
      </c>
      <c r="H24" s="1">
        <v>0</v>
      </c>
      <c r="I24" s="1">
        <v>6.1226851851851852E-2</v>
      </c>
    </row>
    <row r="25" spans="1:9" x14ac:dyDescent="0.3">
      <c r="A25" t="s">
        <v>46</v>
      </c>
      <c r="B25" s="1">
        <v>2.8645833333333332E-2</v>
      </c>
      <c r="C25" s="1">
        <v>1.8518518518518517E-2</v>
      </c>
      <c r="D25" s="1">
        <v>0</v>
      </c>
      <c r="E25" s="1">
        <v>0</v>
      </c>
      <c r="F25" s="1">
        <v>0</v>
      </c>
      <c r="G25" s="1">
        <v>6.5393518518518517E-3</v>
      </c>
      <c r="H25" s="1">
        <v>0</v>
      </c>
      <c r="I25" s="1">
        <v>5.3703703703703705E-2</v>
      </c>
    </row>
    <row r="26" spans="1:9" x14ac:dyDescent="0.3">
      <c r="A26" t="s">
        <v>47</v>
      </c>
      <c r="B26" s="1">
        <v>2.7835648148148148E-2</v>
      </c>
      <c r="C26" s="1">
        <v>2.0312500000000001E-2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4.8148148148148148E-2</v>
      </c>
    </row>
    <row r="27" spans="1:9" x14ac:dyDescent="0.3">
      <c r="A27" t="s">
        <v>48</v>
      </c>
      <c r="B27" s="1">
        <v>2.6099537037037036E-2</v>
      </c>
      <c r="C27" s="1">
        <v>1.7187500000000001E-2</v>
      </c>
      <c r="D27" s="1">
        <v>9.9537037037037042E-3</v>
      </c>
      <c r="E27" s="1">
        <v>0</v>
      </c>
      <c r="F27" s="1">
        <v>0</v>
      </c>
      <c r="G27" s="1">
        <v>0</v>
      </c>
      <c r="H27" s="1">
        <v>0</v>
      </c>
      <c r="I27" s="1">
        <v>5.3240740740740741E-2</v>
      </c>
    </row>
    <row r="28" spans="1:9" x14ac:dyDescent="0.3">
      <c r="A28" t="s">
        <v>49</v>
      </c>
      <c r="B28" s="1">
        <v>2.7662037037037037E-2</v>
      </c>
      <c r="C28" s="1">
        <v>1.9560185185185184E-2</v>
      </c>
      <c r="D28" s="1">
        <v>0</v>
      </c>
      <c r="E28" s="1">
        <v>3.0150462962962962E-2</v>
      </c>
      <c r="F28" s="1">
        <v>0</v>
      </c>
      <c r="G28" s="1">
        <v>0</v>
      </c>
      <c r="H28" s="1">
        <v>0</v>
      </c>
      <c r="I28" s="1">
        <v>7.7372685185185183E-2</v>
      </c>
    </row>
    <row r="29" spans="1:9" x14ac:dyDescent="0.3">
      <c r="A29" t="s">
        <v>50</v>
      </c>
      <c r="B29" s="1">
        <v>2.9456018518518517E-2</v>
      </c>
      <c r="C29" s="1">
        <v>2.0486111111111111E-2</v>
      </c>
      <c r="D29" s="1">
        <v>0</v>
      </c>
      <c r="E29" s="1">
        <v>0</v>
      </c>
      <c r="F29" s="1">
        <v>1.1574074074074073E-2</v>
      </c>
      <c r="G29" s="1">
        <v>0</v>
      </c>
      <c r="H29" s="1">
        <v>0</v>
      </c>
      <c r="I29" s="1">
        <v>6.1516203703703705E-2</v>
      </c>
    </row>
    <row r="30" spans="1:9" x14ac:dyDescent="0.3">
      <c r="A30" t="s">
        <v>51</v>
      </c>
      <c r="B30" s="1">
        <v>2.673611111111111E-2</v>
      </c>
      <c r="C30" s="1">
        <v>1.7997685185185186E-2</v>
      </c>
      <c r="D30" s="1">
        <v>0</v>
      </c>
      <c r="E30" s="1">
        <v>0</v>
      </c>
      <c r="F30" s="1">
        <v>0</v>
      </c>
      <c r="G30" s="1">
        <v>5.4398148148148149E-3</v>
      </c>
      <c r="H30" s="1">
        <v>0</v>
      </c>
      <c r="I30" s="1">
        <v>5.0173611111111113E-2</v>
      </c>
    </row>
    <row r="31" spans="1:9" x14ac:dyDescent="0.3">
      <c r="A31" t="s">
        <v>52</v>
      </c>
      <c r="B31" s="1">
        <v>2.8009259259259258E-2</v>
      </c>
      <c r="C31" s="1">
        <v>1.9270833333333334E-2</v>
      </c>
      <c r="D31" s="1">
        <v>6.6550925925925927E-3</v>
      </c>
      <c r="E31" s="1">
        <v>0</v>
      </c>
      <c r="F31" s="1">
        <v>0</v>
      </c>
      <c r="G31" s="1">
        <v>0</v>
      </c>
      <c r="H31" s="1">
        <v>0</v>
      </c>
      <c r="I31" s="1">
        <v>5.3935185185185183E-2</v>
      </c>
    </row>
    <row r="32" spans="1:9" x14ac:dyDescent="0.3">
      <c r="A32" t="s">
        <v>53</v>
      </c>
      <c r="B32" s="1">
        <v>2.7546296296296298E-2</v>
      </c>
      <c r="C32" s="1">
        <v>1.9791666666666666E-2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4.7337962962962964E-2</v>
      </c>
    </row>
    <row r="33" spans="1:9" x14ac:dyDescent="0.3">
      <c r="A33" t="s">
        <v>54</v>
      </c>
      <c r="B33" s="1">
        <v>2.8761574074074075E-2</v>
      </c>
      <c r="C33" s="1">
        <v>1.7881944444444443E-2</v>
      </c>
      <c r="D33" s="1">
        <v>7.8703703703703696E-3</v>
      </c>
      <c r="E33" s="1">
        <v>0</v>
      </c>
      <c r="F33" s="1">
        <v>0</v>
      </c>
      <c r="G33" s="1">
        <v>0</v>
      </c>
      <c r="H33" s="1">
        <v>0</v>
      </c>
      <c r="I33" s="1">
        <v>5.451388888888889E-2</v>
      </c>
    </row>
    <row r="34" spans="1:9" x14ac:dyDescent="0.3">
      <c r="A34" t="s">
        <v>55</v>
      </c>
      <c r="B34" s="1">
        <v>2.6562499999999999E-2</v>
      </c>
      <c r="C34" s="1">
        <v>2.0254629629629629E-2</v>
      </c>
      <c r="D34" s="1">
        <v>0</v>
      </c>
      <c r="E34" s="1">
        <v>0</v>
      </c>
      <c r="F34" s="1">
        <v>1.3599537037037037E-2</v>
      </c>
      <c r="G34" s="1">
        <v>0</v>
      </c>
      <c r="H34" s="1">
        <v>0</v>
      </c>
      <c r="I34" s="1">
        <v>5.3935185185185183E-2</v>
      </c>
    </row>
    <row r="35" spans="1:9" x14ac:dyDescent="0.3">
      <c r="A35" t="s">
        <v>56</v>
      </c>
      <c r="B35" s="1">
        <v>2.8356481481481483E-2</v>
      </c>
      <c r="C35" s="1">
        <v>1.7303240740740741E-2</v>
      </c>
      <c r="D35" s="1">
        <v>0</v>
      </c>
      <c r="E35" s="1">
        <v>0</v>
      </c>
      <c r="F35" s="1">
        <v>0</v>
      </c>
      <c r="G35" s="1">
        <v>5.7291666666666663E-3</v>
      </c>
      <c r="H35" s="1">
        <v>0</v>
      </c>
      <c r="I35" s="1">
        <v>5.1388888888888887E-2</v>
      </c>
    </row>
    <row r="36" spans="1:9" x14ac:dyDescent="0.3">
      <c r="A36" t="s">
        <v>57</v>
      </c>
      <c r="B36" s="1">
        <v>2.6215277777777778E-2</v>
      </c>
      <c r="C36" s="1">
        <v>1.9039351851851852E-2</v>
      </c>
      <c r="D36" s="1">
        <v>0</v>
      </c>
      <c r="E36" s="1">
        <v>2.8009259259259258E-2</v>
      </c>
      <c r="F36" s="1">
        <v>0</v>
      </c>
      <c r="G36" s="1">
        <v>0</v>
      </c>
      <c r="H36" s="1">
        <v>0</v>
      </c>
      <c r="I36" s="1">
        <v>7.3263888888888892E-2</v>
      </c>
    </row>
    <row r="37" spans="1:9" x14ac:dyDescent="0.3">
      <c r="A37" t="s">
        <v>58</v>
      </c>
      <c r="B37" s="1">
        <v>2.9513888888888888E-2</v>
      </c>
      <c r="C37" s="1">
        <v>2.0370370370370372E-2</v>
      </c>
      <c r="D37" s="1">
        <v>0</v>
      </c>
      <c r="E37" s="1">
        <v>0</v>
      </c>
      <c r="F37" s="1">
        <v>0</v>
      </c>
      <c r="G37" s="1">
        <v>0</v>
      </c>
      <c r="H37" s="1">
        <v>5.0462962962962966E-2</v>
      </c>
      <c r="I37" s="1">
        <v>0.10034722222222223</v>
      </c>
    </row>
    <row r="38" spans="1:9" x14ac:dyDescent="0.3">
      <c r="A38" t="s">
        <v>59</v>
      </c>
      <c r="B38" s="1">
        <v>2.7314814814814816E-2</v>
      </c>
      <c r="C38" s="1">
        <v>1.7476851851851851E-2</v>
      </c>
      <c r="D38" s="1">
        <v>9.5486111111111119E-3</v>
      </c>
      <c r="E38" s="1">
        <v>0</v>
      </c>
      <c r="F38" s="1">
        <v>0</v>
      </c>
      <c r="G38" s="1">
        <v>0</v>
      </c>
      <c r="H38" s="1">
        <v>0</v>
      </c>
      <c r="I38" s="1">
        <v>5.4340277777777779E-2</v>
      </c>
    </row>
    <row r="39" spans="1:9" x14ac:dyDescent="0.3">
      <c r="A39" t="s">
        <v>60</v>
      </c>
      <c r="B39" s="1">
        <v>2.7025462962962963E-2</v>
      </c>
      <c r="C39" s="1">
        <v>1.9907407407407408E-2</v>
      </c>
      <c r="D39" s="1">
        <v>0</v>
      </c>
      <c r="E39" s="1">
        <v>0</v>
      </c>
      <c r="F39" s="1">
        <v>1.4756944444444444E-2</v>
      </c>
      <c r="G39" s="1">
        <v>0</v>
      </c>
      <c r="H39" s="1">
        <v>0</v>
      </c>
      <c r="I39" s="1">
        <v>6.1689814814814815E-2</v>
      </c>
    </row>
    <row r="40" spans="1:9" x14ac:dyDescent="0.3">
      <c r="A40" t="s">
        <v>61</v>
      </c>
      <c r="B40" s="1">
        <v>2.8587962962962964E-2</v>
      </c>
      <c r="C40" s="1">
        <v>1.846064814814815E-2</v>
      </c>
      <c r="D40" s="1">
        <v>0</v>
      </c>
      <c r="E40" s="1">
        <v>0</v>
      </c>
      <c r="F40" s="1">
        <v>0</v>
      </c>
      <c r="G40" s="1">
        <v>7.1759259259259259E-3</v>
      </c>
      <c r="H40" s="1">
        <v>0</v>
      </c>
      <c r="I40" s="1">
        <v>5.4224537037037036E-2</v>
      </c>
    </row>
    <row r="41" spans="1:9" x14ac:dyDescent="0.3">
      <c r="A41" t="s">
        <v>62</v>
      </c>
      <c r="B41" s="1">
        <v>2.8067129629629629E-2</v>
      </c>
      <c r="C41" s="1">
        <v>2.0659722222222222E-2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4.8726851851851855E-2</v>
      </c>
    </row>
    <row r="42" spans="1:9" x14ac:dyDescent="0.3">
      <c r="A42" t="s">
        <v>63</v>
      </c>
      <c r="B42" s="1">
        <v>2.627314814814815E-2</v>
      </c>
      <c r="C42" s="1">
        <v>1.7245370370370369E-2</v>
      </c>
      <c r="D42" s="1">
        <v>1.0532407407407407E-2</v>
      </c>
      <c r="E42" s="1">
        <v>0</v>
      </c>
      <c r="F42" s="1">
        <v>0</v>
      </c>
      <c r="G42" s="1">
        <v>0</v>
      </c>
      <c r="H42" s="1">
        <v>0</v>
      </c>
      <c r="I42" s="1">
        <v>5.4050925925925926E-2</v>
      </c>
    </row>
    <row r="43" spans="1:9" x14ac:dyDescent="0.3">
      <c r="A43" t="s">
        <v>64</v>
      </c>
      <c r="B43" s="1">
        <v>2.7488425925925927E-2</v>
      </c>
      <c r="C43" s="1">
        <v>1.9618055555555555E-2</v>
      </c>
      <c r="D43" s="1">
        <v>0</v>
      </c>
      <c r="E43" s="1">
        <v>3.0787037037037036E-2</v>
      </c>
      <c r="F43" s="1">
        <v>0</v>
      </c>
      <c r="G43" s="1">
        <v>0</v>
      </c>
      <c r="H43" s="1">
        <v>0</v>
      </c>
      <c r="I43" s="1">
        <v>7.7893518518518515E-2</v>
      </c>
    </row>
    <row r="44" spans="1:9" x14ac:dyDescent="0.3">
      <c r="A44" t="s">
        <v>65</v>
      </c>
      <c r="B44" s="1">
        <v>2.9340277777777778E-2</v>
      </c>
      <c r="C44" s="1">
        <v>2.042824074074074E-2</v>
      </c>
      <c r="D44" s="1">
        <v>0</v>
      </c>
      <c r="E44" s="1">
        <v>0</v>
      </c>
      <c r="F44" s="1">
        <v>1.238425925925926E-2</v>
      </c>
      <c r="G44" s="1">
        <v>0</v>
      </c>
      <c r="H44" s="1">
        <v>0</v>
      </c>
      <c r="I44" s="1">
        <v>6.2152777777777779E-2</v>
      </c>
    </row>
    <row r="45" spans="1:9" x14ac:dyDescent="0.3">
      <c r="A45" t="s">
        <v>66</v>
      </c>
      <c r="B45" s="1">
        <v>2.6851851851851852E-2</v>
      </c>
      <c r="C45" s="1">
        <v>1.7824074074074076E-2</v>
      </c>
      <c r="D45" s="1">
        <v>0</v>
      </c>
      <c r="E45" s="1">
        <v>0</v>
      </c>
      <c r="F45" s="1">
        <v>0</v>
      </c>
      <c r="G45" s="1">
        <v>5.208333333333333E-3</v>
      </c>
      <c r="H45" s="1">
        <v>0</v>
      </c>
      <c r="I45" s="1">
        <v>4.988425925925926E-2</v>
      </c>
    </row>
    <row r="46" spans="1:9" x14ac:dyDescent="0.3">
      <c r="A46" t="s">
        <v>67</v>
      </c>
      <c r="B46" s="1">
        <v>2.7893518518518519E-2</v>
      </c>
      <c r="C46" s="1">
        <v>1.9386574074074073E-2</v>
      </c>
      <c r="D46" s="1">
        <v>7.2337962962962963E-3</v>
      </c>
      <c r="E46" s="1">
        <v>0</v>
      </c>
      <c r="F46" s="1">
        <v>0</v>
      </c>
      <c r="G46" s="1">
        <v>0</v>
      </c>
      <c r="H46" s="1">
        <v>0</v>
      </c>
      <c r="I46" s="1">
        <v>5.451388888888889E-2</v>
      </c>
    </row>
    <row r="47" spans="1:9" x14ac:dyDescent="0.3">
      <c r="A47" t="s">
        <v>68</v>
      </c>
      <c r="B47" s="1">
        <v>2.7141203703703702E-2</v>
      </c>
      <c r="C47" s="1">
        <v>1.9965277777777776E-2</v>
      </c>
      <c r="D47" s="1">
        <v>0</v>
      </c>
      <c r="E47" s="1">
        <v>0</v>
      </c>
      <c r="F47" s="1">
        <v>1.4004629629629629E-2</v>
      </c>
      <c r="G47" s="1">
        <v>0</v>
      </c>
      <c r="H47" s="1">
        <v>0</v>
      </c>
      <c r="I47" s="1">
        <v>7.7893518518518515E-2</v>
      </c>
    </row>
    <row r="48" spans="1:9" x14ac:dyDescent="0.3">
      <c r="A48" t="s">
        <v>69</v>
      </c>
      <c r="B48" s="1">
        <v>2.8877314814814814E-2</v>
      </c>
      <c r="C48" s="1">
        <v>1.8287037037037036E-2</v>
      </c>
      <c r="D48" s="1">
        <v>0</v>
      </c>
      <c r="E48" s="1">
        <v>0</v>
      </c>
      <c r="F48" s="1">
        <v>0</v>
      </c>
      <c r="G48" s="1">
        <v>6.4236111111111108E-3</v>
      </c>
      <c r="H48" s="1">
        <v>0</v>
      </c>
      <c r="I48" s="1">
        <v>5.3587962962962962E-2</v>
      </c>
    </row>
    <row r="49" spans="1:9" x14ac:dyDescent="0.3">
      <c r="A49" t="s">
        <v>70</v>
      </c>
      <c r="B49" s="1">
        <v>2.6678240740740742E-2</v>
      </c>
      <c r="C49" s="1">
        <v>2.0486111111111111E-2</v>
      </c>
      <c r="D49" s="1">
        <v>8.7962962962962968E-3</v>
      </c>
      <c r="E49" s="1">
        <v>0</v>
      </c>
      <c r="F49" s="1">
        <v>0</v>
      </c>
      <c r="G49" s="1">
        <v>0</v>
      </c>
      <c r="H49" s="1">
        <v>0</v>
      </c>
      <c r="I49" s="1">
        <v>5.5960648148148148E-2</v>
      </c>
    </row>
    <row r="50" spans="1:9" x14ac:dyDescent="0.3">
      <c r="A50" t="s">
        <v>71</v>
      </c>
      <c r="B50" s="1">
        <v>2.8298611111111111E-2</v>
      </c>
      <c r="C50" s="1">
        <v>1.7650462962962962E-2</v>
      </c>
      <c r="D50" s="1">
        <v>0</v>
      </c>
      <c r="E50" s="1">
        <v>2.6967592592592592E-2</v>
      </c>
      <c r="F50" s="1">
        <v>0</v>
      </c>
      <c r="G50" s="1">
        <v>0</v>
      </c>
      <c r="H50" s="1">
        <v>0</v>
      </c>
      <c r="I50" s="1">
        <v>7.2916666666666671E-2</v>
      </c>
    </row>
    <row r="51" spans="1:9" x14ac:dyDescent="0.3">
      <c r="A51" t="s">
        <v>72</v>
      </c>
      <c r="B51" s="1">
        <v>2.9224537037037038E-2</v>
      </c>
      <c r="C51" s="1">
        <v>2.0717592592592593E-2</v>
      </c>
      <c r="D51" s="1">
        <v>0</v>
      </c>
      <c r="E51" s="1">
        <v>0</v>
      </c>
      <c r="F51" s="1">
        <v>1.2905092592592593E-2</v>
      </c>
      <c r="G51" s="1">
        <v>0</v>
      </c>
      <c r="H51" s="1">
        <v>0</v>
      </c>
      <c r="I51" s="1">
        <v>6.2847222222222221E-2</v>
      </c>
    </row>
    <row r="52" spans="1:9" x14ac:dyDescent="0.3">
      <c r="A52" t="s">
        <v>73</v>
      </c>
      <c r="B52" s="1">
        <v>2.7314814814814816E-2</v>
      </c>
      <c r="C52" s="1">
        <v>1.9560185185185184E-2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4.6875E-2</v>
      </c>
    </row>
    <row r="53" spans="1:9" x14ac:dyDescent="0.3">
      <c r="A53" t="s">
        <v>74</v>
      </c>
      <c r="B53" s="1">
        <v>2.8993055555555557E-2</v>
      </c>
      <c r="C53" s="1">
        <v>1.7592592592592594E-2</v>
      </c>
      <c r="D53" s="1">
        <v>7.8125E-3</v>
      </c>
      <c r="E53" s="1">
        <v>0</v>
      </c>
      <c r="F53" s="1">
        <v>0</v>
      </c>
      <c r="G53" s="1">
        <v>0</v>
      </c>
      <c r="H53" s="1">
        <v>0</v>
      </c>
      <c r="I53" s="1">
        <v>5.4398148148148147E-2</v>
      </c>
    </row>
    <row r="54" spans="1:9" x14ac:dyDescent="0.3">
      <c r="A54" t="s">
        <v>75</v>
      </c>
      <c r="B54" s="1">
        <v>2.673611111111111E-2</v>
      </c>
      <c r="C54" s="1">
        <v>2.0312500000000001E-2</v>
      </c>
      <c r="D54" s="1">
        <v>0</v>
      </c>
      <c r="E54" s="1">
        <v>0</v>
      </c>
      <c r="F54" s="1">
        <v>1.3657407407407408E-2</v>
      </c>
      <c r="G54" s="1">
        <v>0</v>
      </c>
      <c r="H54" s="1">
        <v>0</v>
      </c>
      <c r="I54" s="1">
        <v>6.070601851851852E-2</v>
      </c>
    </row>
    <row r="55" spans="1:9" x14ac:dyDescent="0.3">
      <c r="A55" t="s">
        <v>76</v>
      </c>
      <c r="B55" s="1">
        <v>2.841435185185185E-2</v>
      </c>
      <c r="C55" s="1">
        <v>1.7013888888888887E-2</v>
      </c>
      <c r="D55" s="1">
        <v>0</v>
      </c>
      <c r="E55" s="1">
        <v>0</v>
      </c>
      <c r="F55" s="1">
        <v>0</v>
      </c>
      <c r="G55" s="1">
        <v>5.6712962962962967E-3</v>
      </c>
      <c r="H55" s="1">
        <v>0</v>
      </c>
      <c r="I55" s="1">
        <v>5.1099537037037034E-2</v>
      </c>
    </row>
    <row r="56" spans="1:9" x14ac:dyDescent="0.3">
      <c r="A56" t="s">
        <v>77</v>
      </c>
      <c r="B56" s="1">
        <v>2.6157407407407407E-2</v>
      </c>
      <c r="C56" s="1">
        <v>1.9328703703703702E-2</v>
      </c>
      <c r="D56" s="1">
        <v>0</v>
      </c>
      <c r="E56" s="1">
        <v>2.9340277777777778E-2</v>
      </c>
      <c r="F56" s="1">
        <v>0</v>
      </c>
      <c r="G56" s="1">
        <v>0</v>
      </c>
      <c r="H56" s="1">
        <v>0</v>
      </c>
      <c r="I56" s="1">
        <v>7.4826388888888887E-2</v>
      </c>
    </row>
    <row r="57" spans="1:9" x14ac:dyDescent="0.3">
      <c r="A57" t="s">
        <v>78</v>
      </c>
      <c r="B57" s="1">
        <v>2.9398148148148149E-2</v>
      </c>
      <c r="C57" s="1">
        <v>2.0196759259259258E-2</v>
      </c>
      <c r="D57" s="1">
        <v>0</v>
      </c>
      <c r="E57" s="1">
        <v>0</v>
      </c>
      <c r="F57" s="1">
        <v>0</v>
      </c>
      <c r="G57" s="1">
        <v>0</v>
      </c>
      <c r="H57" s="1">
        <v>4.8900462962962965E-2</v>
      </c>
      <c r="I57" s="1">
        <v>9.8495370370370372E-2</v>
      </c>
    </row>
    <row r="58" spans="1:9" x14ac:dyDescent="0.3">
      <c r="A58" t="s">
        <v>79</v>
      </c>
      <c r="B58" s="1">
        <v>2.7256944444444445E-2</v>
      </c>
      <c r="C58" s="1">
        <v>1.7824074074074076E-2</v>
      </c>
      <c r="D58" s="1">
        <v>8.6805555555555559E-3</v>
      </c>
      <c r="E58" s="1">
        <v>0</v>
      </c>
      <c r="F58" s="1">
        <v>0</v>
      </c>
      <c r="G58" s="1">
        <v>0</v>
      </c>
      <c r="H58" s="1">
        <v>0</v>
      </c>
      <c r="I58" s="1">
        <v>5.3761574074074073E-2</v>
      </c>
    </row>
    <row r="59" spans="1:9" x14ac:dyDescent="0.3">
      <c r="A59" t="s">
        <v>80</v>
      </c>
      <c r="B59" s="1">
        <v>2.6967592592592592E-2</v>
      </c>
      <c r="C59" s="1">
        <v>2.0081018518518519E-2</v>
      </c>
      <c r="D59" s="1">
        <v>0</v>
      </c>
      <c r="E59" s="1">
        <v>0</v>
      </c>
      <c r="F59" s="1">
        <v>1.4814814814814815E-2</v>
      </c>
      <c r="G59" s="1">
        <v>0</v>
      </c>
      <c r="H59" s="1">
        <v>0</v>
      </c>
      <c r="I59" s="1">
        <v>6.1863425925925926E-2</v>
      </c>
    </row>
    <row r="60" spans="1:9" x14ac:dyDescent="0.3">
      <c r="A60" t="s">
        <v>81</v>
      </c>
      <c r="B60" s="1">
        <v>2.8761574074074075E-2</v>
      </c>
      <c r="C60" s="1">
        <v>1.8229166666666668E-2</v>
      </c>
      <c r="D60" s="1">
        <v>0</v>
      </c>
      <c r="E60" s="1">
        <v>0</v>
      </c>
      <c r="F60" s="1">
        <v>0</v>
      </c>
      <c r="G60" s="1">
        <v>6.6550925925925927E-3</v>
      </c>
      <c r="H60" s="1">
        <v>0</v>
      </c>
      <c r="I60" s="1">
        <v>5.364583333333333E-2</v>
      </c>
    </row>
    <row r="61" spans="1:9" x14ac:dyDescent="0.3">
      <c r="A61" t="s">
        <v>82</v>
      </c>
      <c r="B61" s="1">
        <v>2.7893518518518519E-2</v>
      </c>
      <c r="C61" s="1">
        <v>2.0370370370370372E-2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4.8263888888888891E-2</v>
      </c>
    </row>
    <row r="62" spans="1:9" x14ac:dyDescent="0.3">
      <c r="A62" t="s">
        <v>83</v>
      </c>
      <c r="B62" s="1">
        <v>2.6331018518518517E-2</v>
      </c>
      <c r="C62" s="1">
        <v>1.7187500000000001E-2</v>
      </c>
      <c r="D62" s="1">
        <v>1.0011574074074074E-2</v>
      </c>
      <c r="E62" s="1">
        <v>0</v>
      </c>
      <c r="F62" s="1">
        <v>0</v>
      </c>
      <c r="G62" s="1">
        <v>0</v>
      </c>
      <c r="H62" s="1">
        <v>0</v>
      </c>
      <c r="I62" s="1">
        <v>5.3530092592592594E-2</v>
      </c>
    </row>
    <row r="63" spans="1:9" x14ac:dyDescent="0.3">
      <c r="A63" t="s">
        <v>84</v>
      </c>
      <c r="B63" s="1">
        <v>2.7546296296296298E-2</v>
      </c>
      <c r="C63" s="1">
        <v>1.9502314814814816E-2</v>
      </c>
      <c r="D63" s="1">
        <v>0</v>
      </c>
      <c r="E63" s="1">
        <v>3.1365740740740743E-2</v>
      </c>
      <c r="F63" s="1">
        <v>0</v>
      </c>
      <c r="G63" s="1">
        <v>0</v>
      </c>
      <c r="H63" s="1">
        <v>0</v>
      </c>
      <c r="I63" s="1">
        <v>7.8414351851851846E-2</v>
      </c>
    </row>
    <row r="64" spans="1:9" x14ac:dyDescent="0.3">
      <c r="A64" t="s">
        <v>85</v>
      </c>
      <c r="B64" s="1">
        <v>2.9571759259259259E-2</v>
      </c>
      <c r="C64" s="1">
        <v>2.060185185185185E-2</v>
      </c>
      <c r="D64" s="1">
        <v>0</v>
      </c>
      <c r="E64" s="1">
        <v>0</v>
      </c>
      <c r="F64" s="1">
        <v>1.1979166666666667E-2</v>
      </c>
      <c r="G64" s="1">
        <v>0</v>
      </c>
      <c r="H64" s="1">
        <v>0</v>
      </c>
      <c r="I64" s="1">
        <v>6.2152777777777779E-2</v>
      </c>
    </row>
    <row r="65" spans="1:9" x14ac:dyDescent="0.3">
      <c r="A65" t="s">
        <v>86</v>
      </c>
      <c r="B65" s="1">
        <v>2.6562499999999999E-2</v>
      </c>
      <c r="C65" s="1">
        <v>1.7997685185185186E-2</v>
      </c>
      <c r="D65" s="1">
        <v>0</v>
      </c>
      <c r="E65" s="1">
        <v>0</v>
      </c>
      <c r="F65" s="1">
        <v>0</v>
      </c>
      <c r="G65" s="1">
        <v>5.3819444444444444E-3</v>
      </c>
      <c r="H65" s="1">
        <v>0</v>
      </c>
      <c r="I65" s="1">
        <v>4.9942129629629628E-2</v>
      </c>
    </row>
    <row r="66" spans="1:9" x14ac:dyDescent="0.3">
      <c r="A66" t="s">
        <v>87</v>
      </c>
      <c r="B66" s="1">
        <v>2.8067129629629629E-2</v>
      </c>
      <c r="C66" s="1">
        <v>1.9155092592592592E-2</v>
      </c>
      <c r="D66" s="1">
        <v>6.828703703703704E-3</v>
      </c>
      <c r="E66" s="1">
        <v>0</v>
      </c>
      <c r="F66" s="1">
        <v>0</v>
      </c>
      <c r="G66" s="1">
        <v>0</v>
      </c>
      <c r="H66" s="1">
        <v>0</v>
      </c>
      <c r="I66" s="1">
        <v>5.4050925925925926E-2</v>
      </c>
    </row>
    <row r="67" spans="1:9" x14ac:dyDescent="0.3">
      <c r="A67" t="s">
        <v>88</v>
      </c>
      <c r="B67" s="1">
        <v>2.7199074074074073E-2</v>
      </c>
      <c r="C67" s="1">
        <v>1.9907407407407408E-2</v>
      </c>
      <c r="D67" s="1">
        <v>0</v>
      </c>
      <c r="E67" s="1">
        <v>0</v>
      </c>
      <c r="F67" s="1">
        <v>1.4178240740740741E-2</v>
      </c>
      <c r="G67" s="1">
        <v>0</v>
      </c>
      <c r="H67" s="1">
        <v>0</v>
      </c>
      <c r="I67" s="1">
        <v>6.128472222222222E-2</v>
      </c>
    </row>
    <row r="68" spans="1:9" x14ac:dyDescent="0.3">
      <c r="A68" t="s">
        <v>89</v>
      </c>
      <c r="B68" s="1">
        <v>2.9050925925925924E-2</v>
      </c>
      <c r="C68" s="1">
        <v>1.8402777777777778E-2</v>
      </c>
      <c r="D68" s="1">
        <v>0</v>
      </c>
      <c r="E68" s="1">
        <v>0</v>
      </c>
      <c r="F68" s="1">
        <v>0</v>
      </c>
      <c r="G68" s="1">
        <v>7.060185185185185E-3</v>
      </c>
      <c r="H68" s="1">
        <v>0</v>
      </c>
      <c r="I68" s="1">
        <v>5.451388888888889E-2</v>
      </c>
    </row>
    <row r="69" spans="1:9" x14ac:dyDescent="0.3">
      <c r="A69" t="s">
        <v>90</v>
      </c>
      <c r="B69" s="1">
        <v>2.6909722222222224E-2</v>
      </c>
      <c r="C69" s="1">
        <v>2.042824074074074E-2</v>
      </c>
      <c r="D69" s="1">
        <v>8.1018518518518514E-3</v>
      </c>
      <c r="E69" s="1">
        <v>0</v>
      </c>
      <c r="F69" s="1">
        <v>0</v>
      </c>
      <c r="G69" s="1">
        <v>0</v>
      </c>
      <c r="H69" s="1">
        <v>0</v>
      </c>
      <c r="I69" s="1">
        <v>5.5439814814814817E-2</v>
      </c>
    </row>
    <row r="70" spans="1:9" x14ac:dyDescent="0.3">
      <c r="A70" t="s">
        <v>91</v>
      </c>
      <c r="B70" s="1">
        <v>2.8182870370370372E-2</v>
      </c>
      <c r="C70" s="1">
        <v>1.7534722222222222E-2</v>
      </c>
      <c r="D70" s="1">
        <v>0</v>
      </c>
      <c r="E70" s="1">
        <v>2.8298611111111111E-2</v>
      </c>
      <c r="F70" s="1">
        <v>0</v>
      </c>
      <c r="G70" s="1">
        <v>0</v>
      </c>
      <c r="H70" s="1">
        <v>0</v>
      </c>
      <c r="I70" s="1">
        <v>7.4016203703703709E-2</v>
      </c>
    </row>
    <row r="71" spans="1:9" x14ac:dyDescent="0.3">
      <c r="A71" t="s">
        <v>92</v>
      </c>
      <c r="B71" s="1">
        <v>2.9166666666666667E-2</v>
      </c>
      <c r="C71" s="1">
        <v>2.0775462962962964E-2</v>
      </c>
      <c r="D71" s="1">
        <v>0</v>
      </c>
      <c r="E71" s="1">
        <v>0</v>
      </c>
      <c r="F71" s="1">
        <v>1.2731481481481481E-2</v>
      </c>
      <c r="G71" s="1">
        <v>0</v>
      </c>
      <c r="H71" s="1">
        <v>0</v>
      </c>
      <c r="I71" s="1">
        <v>6.267361111111111E-2</v>
      </c>
    </row>
    <row r="72" spans="1:9" x14ac:dyDescent="0.3">
      <c r="A72" t="s">
        <v>93</v>
      </c>
      <c r="B72" s="1">
        <v>2.7488425925925927E-2</v>
      </c>
      <c r="C72" s="1">
        <v>1.9675925925925927E-2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4.7164351851851853E-2</v>
      </c>
    </row>
    <row r="73" spans="1:9" x14ac:dyDescent="0.3">
      <c r="A73" t="s">
        <v>94</v>
      </c>
      <c r="B73" s="1">
        <v>2.8703703703703703E-2</v>
      </c>
      <c r="C73" s="1">
        <v>1.7881944444444443E-2</v>
      </c>
      <c r="D73" s="1">
        <v>8.4490740740740741E-3</v>
      </c>
      <c r="E73" s="1">
        <v>0</v>
      </c>
      <c r="F73" s="1">
        <v>0</v>
      </c>
      <c r="G73" s="1">
        <v>0</v>
      </c>
      <c r="H73" s="1">
        <v>0</v>
      </c>
      <c r="I73" s="1">
        <v>5.5034722222222221E-2</v>
      </c>
    </row>
    <row r="74" spans="1:9" x14ac:dyDescent="0.3">
      <c r="A74" t="s">
        <v>95</v>
      </c>
      <c r="B74" s="1">
        <v>2.6678240740740742E-2</v>
      </c>
      <c r="C74" s="1">
        <v>2.0196759259259258E-2</v>
      </c>
      <c r="D74" s="1">
        <v>0</v>
      </c>
      <c r="E74" s="1">
        <v>0</v>
      </c>
      <c r="F74" s="1">
        <v>1.3020833333333334E-2</v>
      </c>
      <c r="G74" s="1">
        <v>0</v>
      </c>
      <c r="H74" s="1">
        <v>0</v>
      </c>
      <c r="I74" s="1">
        <v>5.9895833333333336E-2</v>
      </c>
    </row>
    <row r="75" spans="1:9" x14ac:dyDescent="0.3">
      <c r="A75" t="s">
        <v>96</v>
      </c>
      <c r="B75" s="1">
        <v>2.8356481481481483E-2</v>
      </c>
      <c r="C75" s="1">
        <v>1.7071759259259259E-2</v>
      </c>
      <c r="D75" s="1">
        <v>0</v>
      </c>
      <c r="E75" s="1">
        <v>0</v>
      </c>
      <c r="F75" s="1">
        <v>0</v>
      </c>
      <c r="G75" s="1">
        <v>5.4976851851851853E-3</v>
      </c>
      <c r="H75" s="1">
        <v>0</v>
      </c>
      <c r="I75" s="1">
        <v>5.0925925925925923E-2</v>
      </c>
    </row>
    <row r="76" spans="1:9" x14ac:dyDescent="0.3">
      <c r="A76" t="s">
        <v>97</v>
      </c>
      <c r="B76" s="1">
        <v>2.6215277777777778E-2</v>
      </c>
      <c r="C76" s="1">
        <v>1.892361111111111E-2</v>
      </c>
      <c r="D76" s="1">
        <v>0</v>
      </c>
      <c r="E76" s="1">
        <v>2.8703703703703703E-2</v>
      </c>
      <c r="F76" s="1">
        <v>0</v>
      </c>
      <c r="G76" s="1">
        <v>0</v>
      </c>
      <c r="H76" s="1">
        <v>0</v>
      </c>
      <c r="I76" s="1">
        <v>7.3842592592592599E-2</v>
      </c>
    </row>
    <row r="77" spans="1:9" x14ac:dyDescent="0.3">
      <c r="A77" t="s">
        <v>98</v>
      </c>
      <c r="B77" s="1">
        <v>2.9340277777777778E-2</v>
      </c>
      <c r="C77" s="1">
        <v>2.042824074074074E-2</v>
      </c>
      <c r="D77" s="1">
        <v>0</v>
      </c>
      <c r="E77" s="1">
        <v>0</v>
      </c>
      <c r="F77" s="1">
        <v>0</v>
      </c>
      <c r="G77" s="1">
        <v>0</v>
      </c>
      <c r="H77" s="1">
        <v>5.1736111111111108E-2</v>
      </c>
      <c r="I77" s="1">
        <v>0.10150462962962963</v>
      </c>
    </row>
    <row r="78" spans="1:9" x14ac:dyDescent="0.3">
      <c r="A78" t="s">
        <v>99</v>
      </c>
      <c r="B78" s="1">
        <v>2.7199074074074073E-2</v>
      </c>
      <c r="C78" s="1">
        <v>1.7939814814814815E-2</v>
      </c>
      <c r="D78" s="1">
        <v>7.3495370370370372E-3</v>
      </c>
      <c r="E78" s="1">
        <v>0</v>
      </c>
      <c r="F78" s="1">
        <v>0</v>
      </c>
      <c r="G78" s="1">
        <v>0</v>
      </c>
      <c r="H78" s="1">
        <v>0</v>
      </c>
      <c r="I78" s="1">
        <v>5.2488425925925924E-2</v>
      </c>
    </row>
    <row r="79" spans="1:9" x14ac:dyDescent="0.3">
      <c r="A79" t="s">
        <v>100</v>
      </c>
      <c r="B79" s="1">
        <v>2.7025462962962963E-2</v>
      </c>
      <c r="C79" s="1">
        <v>1.9791666666666666E-2</v>
      </c>
      <c r="D79" s="1">
        <v>0</v>
      </c>
      <c r="E79" s="1">
        <v>0</v>
      </c>
      <c r="F79" s="1">
        <v>1.4351851851851852E-2</v>
      </c>
      <c r="G79" s="1">
        <v>0</v>
      </c>
      <c r="H79" s="1">
        <v>0</v>
      </c>
      <c r="I79" s="1">
        <v>6.1168981481481484E-2</v>
      </c>
    </row>
    <row r="80" spans="1:9" x14ac:dyDescent="0.3">
      <c r="A80" t="s">
        <v>101</v>
      </c>
      <c r="B80" s="1">
        <v>2.8819444444444446E-2</v>
      </c>
      <c r="C80" s="1">
        <v>1.8287037037037036E-2</v>
      </c>
      <c r="D80" s="1">
        <v>0</v>
      </c>
      <c r="E80" s="1">
        <v>0</v>
      </c>
      <c r="F80" s="1">
        <v>0</v>
      </c>
      <c r="G80" s="1">
        <v>6.5393518518518517E-3</v>
      </c>
      <c r="H80" s="1">
        <v>0</v>
      </c>
      <c r="I80" s="1">
        <v>5.364583333333333E-2</v>
      </c>
    </row>
    <row r="81" spans="1:9" x14ac:dyDescent="0.3">
      <c r="A81" t="s">
        <v>102</v>
      </c>
      <c r="B81" s="1">
        <v>2.7835648148148148E-2</v>
      </c>
      <c r="C81" s="1">
        <v>2.060185185185185E-2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4.8437500000000001E-2</v>
      </c>
    </row>
    <row r="82" spans="1:9" x14ac:dyDescent="0.3">
      <c r="A82" t="s">
        <v>103</v>
      </c>
      <c r="B82" s="1">
        <v>2.627314814814815E-2</v>
      </c>
      <c r="C82" s="1">
        <v>1.7303240740740741E-2</v>
      </c>
      <c r="D82" s="1">
        <v>9.8958333333333329E-3</v>
      </c>
      <c r="E82" s="1">
        <v>0</v>
      </c>
      <c r="F82" s="1">
        <v>0</v>
      </c>
      <c r="G82" s="1">
        <v>0</v>
      </c>
      <c r="H82" s="1">
        <v>0</v>
      </c>
      <c r="I82" s="1">
        <v>5.364583333333333E-2</v>
      </c>
    </row>
    <row r="83" spans="1:9" x14ac:dyDescent="0.3">
      <c r="A83" t="s">
        <v>104</v>
      </c>
      <c r="B83" s="1">
        <v>2.7604166666666666E-2</v>
      </c>
      <c r="C83" s="1">
        <v>1.9560185185185184E-2</v>
      </c>
      <c r="D83" s="1">
        <v>0</v>
      </c>
      <c r="E83" s="1">
        <v>3.0439814814814815E-2</v>
      </c>
      <c r="F83" s="1">
        <v>0</v>
      </c>
      <c r="G83" s="1">
        <v>0</v>
      </c>
      <c r="H83" s="1">
        <v>0</v>
      </c>
      <c r="I83" s="1">
        <v>7.7604166666666669E-2</v>
      </c>
    </row>
    <row r="84" spans="1:9" x14ac:dyDescent="0.3">
      <c r="A84" t="s">
        <v>105</v>
      </c>
      <c r="B84" s="1">
        <v>2.9456018518518517E-2</v>
      </c>
      <c r="C84" s="1">
        <v>2.0543981481481483E-2</v>
      </c>
      <c r="D84" s="1">
        <v>0</v>
      </c>
      <c r="E84" s="1">
        <v>0</v>
      </c>
      <c r="F84" s="1">
        <v>1.2442129629629629E-2</v>
      </c>
      <c r="G84" s="1">
        <v>0</v>
      </c>
      <c r="H84" s="1">
        <v>0</v>
      </c>
      <c r="I84" s="1">
        <v>6.2442129629629632E-2</v>
      </c>
    </row>
    <row r="85" spans="1:9" x14ac:dyDescent="0.3">
      <c r="A85" t="s">
        <v>106</v>
      </c>
      <c r="B85" s="1">
        <v>2.6793981481481481E-2</v>
      </c>
      <c r="C85" s="1">
        <v>1.7650462962962962E-2</v>
      </c>
      <c r="D85" s="1">
        <v>0</v>
      </c>
      <c r="E85" s="1">
        <v>0</v>
      </c>
      <c r="F85" s="1">
        <v>0</v>
      </c>
      <c r="G85" s="1">
        <v>5.7870370370370367E-3</v>
      </c>
      <c r="H85" s="1">
        <v>0</v>
      </c>
      <c r="I85" s="1">
        <v>5.0231481481481481E-2</v>
      </c>
    </row>
    <row r="86" spans="1:9" x14ac:dyDescent="0.3">
      <c r="A86" t="s">
        <v>107</v>
      </c>
      <c r="B86" s="1">
        <v>2.8009259259259258E-2</v>
      </c>
      <c r="C86" s="1">
        <v>1.9270833333333334E-2</v>
      </c>
      <c r="D86" s="1">
        <v>6.7129629629629631E-3</v>
      </c>
      <c r="E86" s="1">
        <v>0</v>
      </c>
      <c r="F86" s="1">
        <v>0</v>
      </c>
      <c r="G86" s="1">
        <v>0</v>
      </c>
      <c r="H86" s="1">
        <v>0</v>
      </c>
      <c r="I86" s="1">
        <v>5.3993055555555558E-2</v>
      </c>
    </row>
    <row r="87" spans="1:9" x14ac:dyDescent="0.3">
      <c r="A87" t="s">
        <v>108</v>
      </c>
      <c r="B87" s="1">
        <v>2.7256944444444445E-2</v>
      </c>
      <c r="C87" s="1">
        <v>2.0023148148148148E-2</v>
      </c>
      <c r="D87" s="1">
        <v>0</v>
      </c>
      <c r="E87" s="1">
        <v>0</v>
      </c>
      <c r="F87" s="1">
        <v>1.3773148148148149E-2</v>
      </c>
      <c r="G87" s="1">
        <v>0</v>
      </c>
      <c r="H87" s="1">
        <v>0</v>
      </c>
      <c r="I87" s="1">
        <v>6.1053240740740741E-2</v>
      </c>
    </row>
    <row r="88" spans="1:9" x14ac:dyDescent="0.3">
      <c r="A88" t="s">
        <v>109</v>
      </c>
      <c r="B88" s="1">
        <v>2.9108796296296296E-2</v>
      </c>
      <c r="C88" s="1">
        <v>1.8229166666666668E-2</v>
      </c>
      <c r="D88" s="1">
        <v>0</v>
      </c>
      <c r="E88" s="1">
        <v>0</v>
      </c>
      <c r="F88" s="1">
        <v>0</v>
      </c>
      <c r="G88" s="1">
        <v>7.0023148148148145E-3</v>
      </c>
      <c r="H88" s="1">
        <v>0</v>
      </c>
      <c r="I88" s="1">
        <v>5.4340277777777779E-2</v>
      </c>
    </row>
    <row r="89" spans="1:9" x14ac:dyDescent="0.3">
      <c r="A89" t="s">
        <v>110</v>
      </c>
      <c r="B89" s="1">
        <v>2.6851851851851852E-2</v>
      </c>
      <c r="C89" s="1">
        <v>2.0370370370370372E-2</v>
      </c>
      <c r="D89" s="1">
        <v>8.2754629629629636E-3</v>
      </c>
      <c r="E89" s="1">
        <v>0</v>
      </c>
      <c r="F89" s="1">
        <v>0</v>
      </c>
      <c r="G89" s="1">
        <v>0</v>
      </c>
      <c r="H89" s="1">
        <v>0</v>
      </c>
      <c r="I89" s="1">
        <v>5.572916666666667E-2</v>
      </c>
    </row>
    <row r="90" spans="1:9" x14ac:dyDescent="0.3">
      <c r="A90" t="s">
        <v>111</v>
      </c>
      <c r="B90" s="1">
        <v>2.8298611111111111E-2</v>
      </c>
      <c r="C90" s="1">
        <v>1.7476851851851851E-2</v>
      </c>
      <c r="D90" s="1">
        <v>0</v>
      </c>
      <c r="E90" s="1">
        <v>2.7488425925925927E-2</v>
      </c>
      <c r="F90" s="1">
        <v>0</v>
      </c>
      <c r="G90" s="1">
        <v>0</v>
      </c>
      <c r="H90" s="1">
        <v>0</v>
      </c>
      <c r="I90" s="1">
        <v>7.3263888888888892E-2</v>
      </c>
    </row>
    <row r="91" spans="1:9" x14ac:dyDescent="0.3">
      <c r="A91" t="s">
        <v>112</v>
      </c>
      <c r="B91" s="1">
        <v>2.9282407407407406E-2</v>
      </c>
      <c r="C91" s="1">
        <v>2.0717592592592593E-2</v>
      </c>
      <c r="D91" s="1">
        <v>0</v>
      </c>
      <c r="E91" s="1">
        <v>0</v>
      </c>
      <c r="F91" s="1">
        <v>1.2615740740740742E-2</v>
      </c>
      <c r="G91" s="1">
        <v>0</v>
      </c>
      <c r="H91" s="1">
        <v>0</v>
      </c>
      <c r="I91" s="1">
        <v>6.2615740740740736E-2</v>
      </c>
    </row>
    <row r="92" spans="1:9" x14ac:dyDescent="0.3">
      <c r="A92" t="s">
        <v>113</v>
      </c>
      <c r="B92" s="1">
        <v>2.7372685185185184E-2</v>
      </c>
      <c r="C92" s="1">
        <v>1.9849537037037037E-2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4.7222222222222221E-2</v>
      </c>
    </row>
    <row r="93" spans="1:9" x14ac:dyDescent="0.3">
      <c r="A93" t="s">
        <v>114</v>
      </c>
      <c r="B93" s="1">
        <v>2.8935185185185185E-2</v>
      </c>
      <c r="C93" s="1">
        <v>1.7708333333333333E-2</v>
      </c>
      <c r="D93" s="1">
        <v>7.4652777777777781E-3</v>
      </c>
      <c r="E93" s="1">
        <v>0</v>
      </c>
      <c r="F93" s="1">
        <v>0</v>
      </c>
      <c r="G93" s="1">
        <v>0</v>
      </c>
      <c r="H93" s="1">
        <v>0</v>
      </c>
      <c r="I93" s="1">
        <v>5.4108796296296294E-2</v>
      </c>
    </row>
    <row r="94" spans="1:9" x14ac:dyDescent="0.3">
      <c r="A94" t="s">
        <v>115</v>
      </c>
      <c r="B94" s="1">
        <v>2.6562499999999999E-2</v>
      </c>
      <c r="C94" s="1">
        <v>2.042824074074074E-2</v>
      </c>
      <c r="D94" s="1">
        <v>0</v>
      </c>
      <c r="E94" s="1">
        <v>0</v>
      </c>
      <c r="F94" s="1">
        <v>1.3425925925925926E-2</v>
      </c>
      <c r="G94" s="1">
        <v>0</v>
      </c>
      <c r="H94" s="1">
        <v>0</v>
      </c>
      <c r="I94" s="1">
        <v>6.2442129629629632E-2</v>
      </c>
    </row>
    <row r="95" spans="1:9" x14ac:dyDescent="0.3">
      <c r="A95" t="s">
        <v>116</v>
      </c>
      <c r="B95" s="1">
        <v>2.841435185185185E-2</v>
      </c>
      <c r="C95" s="1">
        <v>1.7187500000000001E-2</v>
      </c>
      <c r="D95" s="1">
        <v>0</v>
      </c>
      <c r="E95" s="1">
        <v>0</v>
      </c>
      <c r="F95" s="1">
        <v>0</v>
      </c>
      <c r="G95" s="1">
        <v>5.9027777777777776E-3</v>
      </c>
      <c r="H95" s="1">
        <v>0</v>
      </c>
      <c r="I95" s="1">
        <v>5.1504629629629629E-2</v>
      </c>
    </row>
    <row r="96" spans="1:9" x14ac:dyDescent="0.3">
      <c r="A96" t="s">
        <v>117</v>
      </c>
      <c r="B96" s="1">
        <v>2.627314814814815E-2</v>
      </c>
      <c r="C96" s="1">
        <v>1.9212962962962963E-2</v>
      </c>
      <c r="D96" s="1">
        <v>0</v>
      </c>
      <c r="E96" s="1">
        <v>2.9282407407407406E-2</v>
      </c>
      <c r="F96" s="1">
        <v>0</v>
      </c>
      <c r="G96" s="1">
        <v>0</v>
      </c>
      <c r="H96" s="1">
        <v>0</v>
      </c>
      <c r="I96" s="1">
        <v>7.4768518518518512E-2</v>
      </c>
    </row>
    <row r="97" spans="1:9" x14ac:dyDescent="0.3">
      <c r="A97" t="s">
        <v>118</v>
      </c>
      <c r="B97" s="1">
        <v>2.9456018518518517E-2</v>
      </c>
      <c r="C97" s="1">
        <v>2.0254629629629629E-2</v>
      </c>
      <c r="D97" s="1">
        <v>0</v>
      </c>
      <c r="E97" s="1">
        <v>0</v>
      </c>
      <c r="F97" s="1">
        <v>0</v>
      </c>
      <c r="G97" s="1">
        <v>0</v>
      </c>
      <c r="H97" s="1">
        <v>4.971064814814815E-2</v>
      </c>
      <c r="I97" s="1">
        <v>9.9421296296296299E-2</v>
      </c>
    </row>
    <row r="98" spans="1:9" x14ac:dyDescent="0.3">
      <c r="A98" t="s">
        <v>119</v>
      </c>
      <c r="B98" s="1">
        <v>2.7141203703703702E-2</v>
      </c>
      <c r="C98" s="1">
        <v>1.7997685185185186E-2</v>
      </c>
      <c r="D98" s="1">
        <v>8.564814814814815E-3</v>
      </c>
      <c r="E98" s="1">
        <v>0</v>
      </c>
      <c r="F98" s="1">
        <v>0</v>
      </c>
      <c r="G98" s="1">
        <v>0</v>
      </c>
      <c r="H98" s="1">
        <v>0</v>
      </c>
      <c r="I98" s="1">
        <v>5.3703703703703705E-2</v>
      </c>
    </row>
    <row r="99" spans="1:9" x14ac:dyDescent="0.3">
      <c r="A99" t="s">
        <v>120</v>
      </c>
      <c r="B99" s="1">
        <v>2.6967592592592592E-2</v>
      </c>
      <c r="C99" s="1">
        <v>1.9965277777777776E-2</v>
      </c>
      <c r="D99" s="1">
        <v>0</v>
      </c>
      <c r="E99" s="1">
        <v>0</v>
      </c>
      <c r="F99" s="1">
        <v>1.4699074074074074E-2</v>
      </c>
      <c r="G99" s="1">
        <v>0</v>
      </c>
      <c r="H99" s="1">
        <v>0</v>
      </c>
      <c r="I99" s="1">
        <v>6.1631944444444448E-2</v>
      </c>
    </row>
    <row r="100" spans="1:9" x14ac:dyDescent="0.3">
      <c r="A100" t="s">
        <v>121</v>
      </c>
      <c r="B100" s="1">
        <v>2.8645833333333332E-2</v>
      </c>
      <c r="C100" s="1">
        <v>1.8344907407407407E-2</v>
      </c>
      <c r="D100" s="1">
        <v>0</v>
      </c>
      <c r="E100" s="1">
        <v>0</v>
      </c>
      <c r="F100" s="1">
        <v>0</v>
      </c>
      <c r="G100" s="1">
        <v>6.7129629629629631E-3</v>
      </c>
      <c r="H100" s="1">
        <v>0</v>
      </c>
      <c r="I100" s="1">
        <v>5.3703703703703705E-2</v>
      </c>
    </row>
    <row r="101" spans="1:9" x14ac:dyDescent="0.3">
      <c r="A101" t="s">
        <v>122</v>
      </c>
      <c r="B101" s="1">
        <v>2.7893518518518519E-2</v>
      </c>
      <c r="C101" s="1">
        <v>2.0543981481481483E-2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4.8437500000000001E-2</v>
      </c>
    </row>
    <row r="102" spans="1:9" x14ac:dyDescent="0.3">
      <c r="A102" t="s">
        <v>123</v>
      </c>
      <c r="B102" s="1">
        <v>2.6215277777777778E-2</v>
      </c>
      <c r="C102" s="1">
        <v>1.7245370370370369E-2</v>
      </c>
      <c r="D102" s="1">
        <v>1.0474537037037037E-2</v>
      </c>
      <c r="E102" s="1">
        <v>0</v>
      </c>
      <c r="F102" s="1">
        <v>0</v>
      </c>
      <c r="G102" s="1">
        <v>0</v>
      </c>
      <c r="H102" s="1">
        <v>0</v>
      </c>
      <c r="I102" s="1">
        <v>5.3935185185185183E-2</v>
      </c>
    </row>
    <row r="103" spans="1:9" x14ac:dyDescent="0.3">
      <c r="A103" t="s">
        <v>124</v>
      </c>
      <c r="B103" s="1">
        <v>2.7719907407407408E-2</v>
      </c>
      <c r="C103" s="1">
        <v>1.9675925925925927E-2</v>
      </c>
      <c r="D103" s="1">
        <v>0</v>
      </c>
      <c r="E103" s="1">
        <v>3.0729166666666665E-2</v>
      </c>
      <c r="F103" s="1">
        <v>0</v>
      </c>
      <c r="G103" s="1">
        <v>0</v>
      </c>
      <c r="H103" s="1">
        <v>0</v>
      </c>
      <c r="I103" s="1">
        <v>7.8125E-2</v>
      </c>
    </row>
    <row r="104" spans="1:9" x14ac:dyDescent="0.3">
      <c r="A104" t="s">
        <v>125</v>
      </c>
      <c r="B104" s="1">
        <v>2.9513888888888888E-2</v>
      </c>
      <c r="C104" s="1">
        <v>2.0659722222222222E-2</v>
      </c>
      <c r="D104" s="1">
        <v>0</v>
      </c>
      <c r="E104" s="1">
        <v>0</v>
      </c>
      <c r="F104" s="1">
        <v>1.2152777777777778E-2</v>
      </c>
      <c r="G104" s="1">
        <v>0</v>
      </c>
      <c r="H104" s="1">
        <v>0</v>
      </c>
      <c r="I104" s="1">
        <v>6.232638888888889E-2</v>
      </c>
    </row>
    <row r="105" spans="1:9" x14ac:dyDescent="0.3">
      <c r="A105" t="s">
        <v>126</v>
      </c>
      <c r="B105" s="1">
        <v>2.6678240740740742E-2</v>
      </c>
      <c r="C105" s="1">
        <v>1.7824074074074076E-2</v>
      </c>
      <c r="D105" s="1">
        <v>0</v>
      </c>
      <c r="E105" s="1">
        <v>0</v>
      </c>
      <c r="F105" s="1">
        <v>0</v>
      </c>
      <c r="G105" s="1">
        <v>5.4976851851851853E-3</v>
      </c>
      <c r="H105" s="1">
        <v>0</v>
      </c>
      <c r="I105" s="1">
        <v>0.05</v>
      </c>
    </row>
    <row r="106" spans="1:9" x14ac:dyDescent="0.3">
      <c r="A106" t="s">
        <v>127</v>
      </c>
      <c r="B106" s="1">
        <v>2.8182870370370372E-2</v>
      </c>
      <c r="C106" s="1">
        <v>1.9328703703703702E-2</v>
      </c>
      <c r="D106" s="1">
        <v>6.5393518518518517E-3</v>
      </c>
      <c r="E106" s="1">
        <v>0</v>
      </c>
      <c r="F106" s="1">
        <v>0</v>
      </c>
      <c r="G106" s="1">
        <v>0</v>
      </c>
      <c r="H106" s="1">
        <v>0</v>
      </c>
      <c r="I106" s="1">
        <v>5.4050925925925926E-2</v>
      </c>
    </row>
    <row r="107" spans="1:9" x14ac:dyDescent="0.3">
      <c r="A107" t="s">
        <v>128</v>
      </c>
      <c r="B107" s="1">
        <v>2.7314814814814816E-2</v>
      </c>
      <c r="C107" s="1">
        <v>2.0081018518518519E-2</v>
      </c>
      <c r="D107" s="1">
        <v>0</v>
      </c>
      <c r="E107" s="1">
        <v>0</v>
      </c>
      <c r="F107" s="1">
        <v>1.40625E-2</v>
      </c>
      <c r="G107" s="1">
        <v>0</v>
      </c>
      <c r="H107" s="1">
        <v>0</v>
      </c>
      <c r="I107" s="1">
        <v>6.145833333333333E-2</v>
      </c>
    </row>
    <row r="108" spans="1:9" x14ac:dyDescent="0.3">
      <c r="A108" t="s">
        <v>129</v>
      </c>
      <c r="B108" s="1">
        <v>2.9050925925925924E-2</v>
      </c>
      <c r="C108" s="1">
        <v>1.8171296296296297E-2</v>
      </c>
      <c r="D108" s="1">
        <v>0</v>
      </c>
      <c r="E108" s="1">
        <v>0</v>
      </c>
      <c r="F108" s="1">
        <v>0</v>
      </c>
      <c r="G108" s="1">
        <v>7.2337962962962963E-3</v>
      </c>
      <c r="H108" s="1">
        <v>0</v>
      </c>
      <c r="I108" s="1">
        <v>5.4456018518518522E-2</v>
      </c>
    </row>
    <row r="109" spans="1:9" x14ac:dyDescent="0.3">
      <c r="A109" t="s">
        <v>130</v>
      </c>
      <c r="B109" s="1">
        <v>2.6909722222222224E-2</v>
      </c>
      <c r="C109" s="1">
        <v>2.0312500000000001E-2</v>
      </c>
      <c r="D109" s="1">
        <v>8.0439814814814818E-3</v>
      </c>
      <c r="E109" s="1">
        <v>0</v>
      </c>
      <c r="F109" s="1">
        <v>0</v>
      </c>
      <c r="G109" s="1">
        <v>0</v>
      </c>
      <c r="H109" s="1">
        <v>0</v>
      </c>
      <c r="I109" s="1">
        <v>5.5266203703703706E-2</v>
      </c>
    </row>
    <row r="110" spans="1:9" x14ac:dyDescent="0.3">
      <c r="A110" t="s">
        <v>131</v>
      </c>
      <c r="B110" s="1">
        <v>2.8356481481481483E-2</v>
      </c>
      <c r="C110" s="1">
        <v>1.7592592592592594E-2</v>
      </c>
      <c r="D110" s="1">
        <v>0</v>
      </c>
      <c r="E110" s="1">
        <v>2.8356481481481483E-2</v>
      </c>
      <c r="F110" s="1">
        <v>0</v>
      </c>
      <c r="G110" s="1">
        <v>0</v>
      </c>
      <c r="H110" s="1">
        <v>0</v>
      </c>
      <c r="I110" s="1">
        <v>7.4305555555555555E-2</v>
      </c>
    </row>
    <row r="111" spans="1:9" x14ac:dyDescent="0.3">
      <c r="A111" t="s">
        <v>132</v>
      </c>
      <c r="B111" s="1">
        <v>2.9224537037037038E-2</v>
      </c>
      <c r="C111" s="1">
        <v>2.0775462962962964E-2</v>
      </c>
      <c r="D111" s="1">
        <v>0</v>
      </c>
      <c r="E111" s="1">
        <v>0</v>
      </c>
      <c r="F111" s="1">
        <v>1.255787037037037E-2</v>
      </c>
      <c r="G111" s="1">
        <v>0</v>
      </c>
      <c r="H111" s="1">
        <v>0</v>
      </c>
      <c r="I111" s="1">
        <v>6.2557870370370375E-2</v>
      </c>
    </row>
    <row r="112" spans="1:9" x14ac:dyDescent="0.3">
      <c r="A112" t="s">
        <v>133</v>
      </c>
      <c r="B112" s="1">
        <v>2.7372685185185184E-2</v>
      </c>
      <c r="C112" s="1">
        <v>1.9849537037037037E-2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4.7222222222222221E-2</v>
      </c>
    </row>
    <row r="113" spans="1:9" x14ac:dyDescent="0.3">
      <c r="A113" t="s">
        <v>134</v>
      </c>
      <c r="B113" s="1">
        <v>2.8935185185185185E-2</v>
      </c>
      <c r="C113" s="1">
        <v>1.7708333333333333E-2</v>
      </c>
      <c r="D113" s="1">
        <v>7.4652777777777781E-3</v>
      </c>
      <c r="E113" s="1">
        <v>0</v>
      </c>
      <c r="F113" s="1">
        <v>0</v>
      </c>
      <c r="G113" s="1">
        <v>0</v>
      </c>
      <c r="H113" s="1">
        <v>0</v>
      </c>
      <c r="I113" s="1">
        <v>5.4108796296296294E-2</v>
      </c>
    </row>
    <row r="114" spans="1:9" x14ac:dyDescent="0.3">
      <c r="A114" t="s">
        <v>135</v>
      </c>
      <c r="B114" s="1">
        <v>2.6562499999999999E-2</v>
      </c>
      <c r="C114" s="1">
        <v>2.042824074074074E-2</v>
      </c>
      <c r="D114" s="1">
        <v>0</v>
      </c>
      <c r="E114" s="1">
        <v>0</v>
      </c>
      <c r="F114" s="1">
        <v>1.3425925925925926E-2</v>
      </c>
      <c r="G114" s="1">
        <v>0</v>
      </c>
      <c r="H114" s="1">
        <v>0</v>
      </c>
      <c r="I114" s="1">
        <v>4.7222222222222221E-2</v>
      </c>
    </row>
    <row r="115" spans="1:9" x14ac:dyDescent="0.3">
      <c r="A115" t="s">
        <v>136</v>
      </c>
      <c r="B115" s="1">
        <v>2.841435185185185E-2</v>
      </c>
      <c r="C115" s="1">
        <v>1.7187500000000001E-2</v>
      </c>
      <c r="D115" s="1">
        <v>0</v>
      </c>
      <c r="E115" s="1">
        <v>0</v>
      </c>
      <c r="F115" s="1">
        <v>0</v>
      </c>
      <c r="G115" s="1">
        <v>5.9027777777777776E-3</v>
      </c>
      <c r="H115" s="1">
        <v>0</v>
      </c>
      <c r="I115" s="1">
        <v>5.1504629629629629E-2</v>
      </c>
    </row>
    <row r="116" spans="1:9" x14ac:dyDescent="0.3">
      <c r="A116" t="s">
        <v>137</v>
      </c>
      <c r="B116" s="1">
        <v>2.627314814814815E-2</v>
      </c>
      <c r="C116" s="1">
        <v>1.9212962962962963E-2</v>
      </c>
      <c r="D116" s="1">
        <v>0</v>
      </c>
      <c r="E116" s="1">
        <v>2.9282407407407406E-2</v>
      </c>
      <c r="F116" s="1">
        <v>0</v>
      </c>
      <c r="G116" s="1">
        <v>0</v>
      </c>
      <c r="H116" s="1">
        <v>0</v>
      </c>
      <c r="I116" s="1">
        <v>7.4768518518518512E-2</v>
      </c>
    </row>
    <row r="117" spans="1:9" x14ac:dyDescent="0.3">
      <c r="A117" t="s">
        <v>138</v>
      </c>
      <c r="B117" s="1">
        <v>2.9456018518518517E-2</v>
      </c>
      <c r="C117" s="1">
        <v>2.0254629629629629E-2</v>
      </c>
      <c r="D117" s="1">
        <v>0</v>
      </c>
      <c r="E117" s="1">
        <v>0</v>
      </c>
      <c r="F117" s="1">
        <v>0</v>
      </c>
      <c r="G117" s="1">
        <v>0</v>
      </c>
      <c r="H117" s="1">
        <v>4.971064814814815E-2</v>
      </c>
      <c r="I117" s="1">
        <v>9.9421296296296299E-2</v>
      </c>
    </row>
    <row r="118" spans="1:9" x14ac:dyDescent="0.3">
      <c r="A118" t="s">
        <v>139</v>
      </c>
      <c r="B118" s="1">
        <v>2.7141203703703702E-2</v>
      </c>
      <c r="C118" s="1">
        <v>1.7997685185185186E-2</v>
      </c>
      <c r="D118" s="1">
        <v>8.564814814814815E-3</v>
      </c>
      <c r="E118" s="1">
        <v>0</v>
      </c>
      <c r="F118" s="1">
        <v>0</v>
      </c>
      <c r="G118" s="1">
        <v>0</v>
      </c>
      <c r="H118" s="1">
        <v>0</v>
      </c>
      <c r="I118" s="1">
        <v>5.3703703703703705E-2</v>
      </c>
    </row>
    <row r="119" spans="1:9" x14ac:dyDescent="0.3">
      <c r="A119" t="s">
        <v>140</v>
      </c>
      <c r="B119" s="1">
        <v>2.6967592592592592E-2</v>
      </c>
      <c r="C119" s="1">
        <v>1.9965277777777776E-2</v>
      </c>
      <c r="D119" s="1">
        <v>0</v>
      </c>
      <c r="E119" s="1">
        <v>0</v>
      </c>
      <c r="F119" s="1">
        <v>1.4699074074074074E-2</v>
      </c>
      <c r="G119" s="1">
        <v>0</v>
      </c>
      <c r="H119" s="1">
        <v>0</v>
      </c>
      <c r="I119" s="1">
        <v>6.1631944444444448E-2</v>
      </c>
    </row>
    <row r="120" spans="1:9" x14ac:dyDescent="0.3">
      <c r="A120" t="s">
        <v>141</v>
      </c>
      <c r="B120" s="1">
        <v>2.8645833333333332E-2</v>
      </c>
      <c r="C120" s="1">
        <v>1.8344907407407407E-2</v>
      </c>
      <c r="D120" s="1">
        <v>0</v>
      </c>
      <c r="E120" s="1">
        <v>0</v>
      </c>
      <c r="F120" s="1">
        <v>0</v>
      </c>
      <c r="G120" s="1">
        <v>6.7129629629629631E-3</v>
      </c>
      <c r="H120" s="1">
        <v>0</v>
      </c>
      <c r="I120" s="1">
        <v>5.3703703703703705E-2</v>
      </c>
    </row>
    <row r="121" spans="1:9" x14ac:dyDescent="0.3">
      <c r="A121" t="s">
        <v>142</v>
      </c>
      <c r="B121" s="1">
        <v>2.7893518518518519E-2</v>
      </c>
      <c r="C121" s="1">
        <v>2.0543981481481483E-2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4.8437500000000001E-2</v>
      </c>
    </row>
    <row r="122" spans="1:9" x14ac:dyDescent="0.3">
      <c r="A122" t="s">
        <v>143</v>
      </c>
      <c r="B122" s="1">
        <v>2.6215277777777778E-2</v>
      </c>
      <c r="C122" s="1">
        <v>1.7245370370370369E-2</v>
      </c>
      <c r="D122" s="1">
        <v>1.0474537037037037E-2</v>
      </c>
      <c r="E122" s="1">
        <v>0</v>
      </c>
      <c r="F122" s="1">
        <v>0</v>
      </c>
      <c r="G122" s="1">
        <v>0</v>
      </c>
      <c r="H122" s="1">
        <v>0</v>
      </c>
      <c r="I122" s="1">
        <v>5.3935185185185183E-2</v>
      </c>
    </row>
    <row r="123" spans="1:9" x14ac:dyDescent="0.3">
      <c r="A123" t="s">
        <v>144</v>
      </c>
      <c r="B123" s="1">
        <v>2.7719907407407408E-2</v>
      </c>
      <c r="C123" s="1">
        <v>1.9675925925925927E-2</v>
      </c>
      <c r="D123" s="1">
        <v>0</v>
      </c>
      <c r="E123" s="1">
        <v>3.0729166666666665E-2</v>
      </c>
      <c r="F123" s="1">
        <v>0</v>
      </c>
      <c r="G123" s="1">
        <v>0</v>
      </c>
      <c r="H123" s="1">
        <v>0</v>
      </c>
      <c r="I123" s="1">
        <v>7.8125E-2</v>
      </c>
    </row>
    <row r="124" spans="1:9" x14ac:dyDescent="0.3">
      <c r="A124" t="s">
        <v>145</v>
      </c>
      <c r="B124" s="1">
        <v>2.9513888888888888E-2</v>
      </c>
      <c r="C124" s="1">
        <v>2.0659722222222222E-2</v>
      </c>
      <c r="D124" s="1">
        <v>0</v>
      </c>
      <c r="E124" s="1">
        <v>0</v>
      </c>
      <c r="F124" s="1">
        <v>1.2152777777777778E-2</v>
      </c>
      <c r="G124" s="1">
        <v>0</v>
      </c>
      <c r="H124" s="1">
        <v>0</v>
      </c>
      <c r="I124" s="1">
        <v>6.232638888888889E-2</v>
      </c>
    </row>
    <row r="125" spans="1:9" x14ac:dyDescent="0.3">
      <c r="A125" t="s">
        <v>146</v>
      </c>
      <c r="B125" s="1">
        <v>2.6678240740740742E-2</v>
      </c>
      <c r="C125" s="1">
        <v>1.7824074074074076E-2</v>
      </c>
      <c r="D125" s="1">
        <v>0</v>
      </c>
      <c r="E125" s="1">
        <v>0</v>
      </c>
      <c r="F125" s="1">
        <v>0</v>
      </c>
      <c r="G125" s="1">
        <v>5.4976851851851853E-3</v>
      </c>
      <c r="H125" s="1">
        <v>0</v>
      </c>
      <c r="I125" s="1">
        <v>0.05</v>
      </c>
    </row>
    <row r="126" spans="1:9" x14ac:dyDescent="0.3">
      <c r="A126" t="s">
        <v>147</v>
      </c>
      <c r="B126" s="1">
        <v>2.8182870370370372E-2</v>
      </c>
      <c r="C126" s="1">
        <v>1.9328703703703702E-2</v>
      </c>
      <c r="D126" s="1">
        <v>6.5393518518518517E-3</v>
      </c>
      <c r="E126" s="1">
        <v>0</v>
      </c>
      <c r="F126" s="1">
        <v>0</v>
      </c>
      <c r="G126" s="1">
        <v>0</v>
      </c>
      <c r="H126" s="1">
        <v>0</v>
      </c>
      <c r="I126" s="1">
        <v>5.4050925925925926E-2</v>
      </c>
    </row>
    <row r="127" spans="1:9" x14ac:dyDescent="0.3">
      <c r="A127" t="s">
        <v>148</v>
      </c>
      <c r="B127" s="1">
        <v>2.7314814814814816E-2</v>
      </c>
      <c r="C127" s="1">
        <v>2.0081018518518519E-2</v>
      </c>
      <c r="D127" s="1">
        <v>0</v>
      </c>
      <c r="E127" s="1">
        <v>0</v>
      </c>
      <c r="F127" s="1">
        <v>1.40625E-2</v>
      </c>
      <c r="G127" s="1">
        <v>0</v>
      </c>
      <c r="H127" s="1">
        <v>0</v>
      </c>
      <c r="I127" s="1">
        <v>6.145833333333333E-2</v>
      </c>
    </row>
    <row r="128" spans="1:9" x14ac:dyDescent="0.3">
      <c r="A128" t="s">
        <v>149</v>
      </c>
      <c r="B128" s="1">
        <v>2.9050925925925924E-2</v>
      </c>
      <c r="C128" s="1">
        <v>1.8171296296296297E-2</v>
      </c>
      <c r="D128" s="1">
        <v>0</v>
      </c>
      <c r="E128" s="1">
        <v>0</v>
      </c>
      <c r="F128" s="1">
        <v>0</v>
      </c>
      <c r="G128" s="1">
        <v>7.2337962962962963E-3</v>
      </c>
      <c r="H128" s="1">
        <v>0</v>
      </c>
      <c r="I128" s="1">
        <v>5.4456018518518522E-2</v>
      </c>
    </row>
    <row r="129" spans="1:9" x14ac:dyDescent="0.3">
      <c r="A129" t="s">
        <v>150</v>
      </c>
      <c r="B129" s="1">
        <v>2.6909722222222224E-2</v>
      </c>
      <c r="C129" s="1">
        <v>2.0312500000000001E-2</v>
      </c>
      <c r="D129" s="1">
        <v>8.0439814814814818E-3</v>
      </c>
      <c r="E129" s="1">
        <v>0</v>
      </c>
      <c r="F129" s="1">
        <v>0</v>
      </c>
      <c r="G129" s="1">
        <v>0</v>
      </c>
      <c r="H129" s="1">
        <v>0</v>
      </c>
      <c r="I129" s="1">
        <v>5.5266203703703706E-2</v>
      </c>
    </row>
    <row r="130" spans="1:9" x14ac:dyDescent="0.3">
      <c r="A130" t="s">
        <v>151</v>
      </c>
      <c r="B130" s="1">
        <v>2.8356481481481483E-2</v>
      </c>
      <c r="C130" s="1">
        <v>1.7592592592592594E-2</v>
      </c>
      <c r="D130" s="1">
        <v>0</v>
      </c>
      <c r="E130" s="1">
        <v>2.8356481481481483E-2</v>
      </c>
      <c r="F130" s="1">
        <v>0</v>
      </c>
      <c r="G130" s="1">
        <v>0</v>
      </c>
      <c r="H130" s="1">
        <v>0</v>
      </c>
      <c r="I130" s="1">
        <v>7.4305555555555555E-2</v>
      </c>
    </row>
    <row r="131" spans="1:9" x14ac:dyDescent="0.3">
      <c r="A131" t="s">
        <v>152</v>
      </c>
      <c r="B131" s="1">
        <v>2.9224537037037038E-2</v>
      </c>
      <c r="C131" s="1">
        <v>2.0775462962962964E-2</v>
      </c>
      <c r="D131" s="1">
        <v>0</v>
      </c>
      <c r="E131" s="1">
        <v>0</v>
      </c>
      <c r="F131" s="1">
        <v>1.255787037037037E-2</v>
      </c>
      <c r="G131" s="1">
        <v>0</v>
      </c>
      <c r="H131" s="1">
        <v>0</v>
      </c>
      <c r="I131" s="1">
        <v>6.2557870370370375E-2</v>
      </c>
    </row>
    <row r="132" spans="1:9" x14ac:dyDescent="0.3">
      <c r="A132" t="s">
        <v>153</v>
      </c>
      <c r="B132" s="1">
        <v>2.7256944444444445E-2</v>
      </c>
      <c r="C132" s="1">
        <v>1.9733796296296298E-2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4.6990740740740743E-2</v>
      </c>
    </row>
    <row r="133" spans="1:9" x14ac:dyDescent="0.3">
      <c r="A133" t="s">
        <v>154</v>
      </c>
      <c r="B133" s="1">
        <v>2.8877314814814814E-2</v>
      </c>
      <c r="C133" s="1">
        <v>1.7824074074074076E-2</v>
      </c>
      <c r="D133" s="1">
        <v>7.5231481481481477E-3</v>
      </c>
      <c r="E133" s="1">
        <v>0</v>
      </c>
      <c r="F133" s="1">
        <v>0</v>
      </c>
      <c r="G133" s="1">
        <v>0</v>
      </c>
      <c r="H133" s="1">
        <v>0</v>
      </c>
      <c r="I133" s="1">
        <v>5.4224537037037036E-2</v>
      </c>
    </row>
    <row r="134" spans="1:9" x14ac:dyDescent="0.3">
      <c r="A134" t="s">
        <v>155</v>
      </c>
      <c r="B134" s="1">
        <v>2.6620370370370371E-2</v>
      </c>
      <c r="C134" s="1">
        <v>2.0486111111111111E-2</v>
      </c>
      <c r="D134" s="1">
        <v>0</v>
      </c>
      <c r="E134" s="1">
        <v>0</v>
      </c>
      <c r="F134" s="1">
        <v>1.3136574074074075E-2</v>
      </c>
      <c r="G134" s="1">
        <v>0</v>
      </c>
      <c r="H134" s="1">
        <v>0</v>
      </c>
      <c r="I134" s="1">
        <v>6.0243055555555557E-2</v>
      </c>
    </row>
    <row r="135" spans="1:9" x14ac:dyDescent="0.3">
      <c r="A135" t="s">
        <v>156</v>
      </c>
      <c r="B135" s="1">
        <v>2.8298611111111111E-2</v>
      </c>
      <c r="C135" s="1">
        <v>1.7245370370370369E-2</v>
      </c>
      <c r="D135" s="1">
        <v>0</v>
      </c>
      <c r="E135" s="1">
        <v>0</v>
      </c>
      <c r="F135" s="1">
        <v>0</v>
      </c>
      <c r="G135" s="1">
        <v>5.6134259259259262E-3</v>
      </c>
      <c r="H135" s="1">
        <v>0</v>
      </c>
      <c r="I135" s="1">
        <v>5.1157407407407408E-2</v>
      </c>
    </row>
    <row r="136" spans="1:9" x14ac:dyDescent="0.3">
      <c r="A136" t="s">
        <v>157</v>
      </c>
      <c r="B136" s="1">
        <v>2.6331018518518517E-2</v>
      </c>
      <c r="C136" s="1">
        <v>1.9155092592592592E-2</v>
      </c>
      <c r="D136" s="1">
        <v>0</v>
      </c>
      <c r="E136" s="1">
        <v>2.8993055555555557E-2</v>
      </c>
      <c r="F136" s="1">
        <v>0</v>
      </c>
      <c r="G136" s="1">
        <v>0</v>
      </c>
      <c r="H136" s="1">
        <v>0</v>
      </c>
      <c r="I136" s="1">
        <v>7.4479166666666666E-2</v>
      </c>
    </row>
    <row r="137" spans="1:9" x14ac:dyDescent="0.3">
      <c r="A137" t="s">
        <v>158</v>
      </c>
      <c r="B137" s="1">
        <v>2.9282407407407406E-2</v>
      </c>
      <c r="C137" s="1">
        <v>2.0312500000000001E-2</v>
      </c>
      <c r="D137" s="1">
        <v>0</v>
      </c>
      <c r="E137" s="1">
        <v>0</v>
      </c>
      <c r="F137" s="1">
        <v>0</v>
      </c>
      <c r="G137" s="1">
        <v>0</v>
      </c>
      <c r="H137" s="1">
        <v>4.8495370370370369E-2</v>
      </c>
      <c r="I137" s="1">
        <v>9.8090277777777776E-2</v>
      </c>
    </row>
    <row r="138" spans="1:9" x14ac:dyDescent="0.3">
      <c r="A138" t="s">
        <v>159</v>
      </c>
      <c r="B138" s="1">
        <v>2.7430555555555555E-2</v>
      </c>
      <c r="C138" s="1">
        <v>1.7650462962962962E-2</v>
      </c>
      <c r="D138" s="1">
        <v>8.4490740740740741E-3</v>
      </c>
      <c r="E138" s="1">
        <v>0</v>
      </c>
      <c r="F138" s="1">
        <v>0</v>
      </c>
      <c r="G138" s="1">
        <v>0</v>
      </c>
      <c r="H138" s="1">
        <v>0</v>
      </c>
      <c r="I138" s="1">
        <v>5.3530092592592594E-2</v>
      </c>
    </row>
    <row r="139" spans="1:9" x14ac:dyDescent="0.3">
      <c r="A139" t="s">
        <v>160</v>
      </c>
      <c r="B139" s="1">
        <v>2.6909722222222224E-2</v>
      </c>
      <c r="C139" s="1">
        <v>1.9907407407407408E-2</v>
      </c>
      <c r="D139" s="1">
        <v>0</v>
      </c>
      <c r="E139" s="1">
        <v>0</v>
      </c>
      <c r="F139" s="1">
        <v>1.4236111111111111E-2</v>
      </c>
      <c r="G139" s="1">
        <v>0</v>
      </c>
      <c r="H139" s="1">
        <v>0</v>
      </c>
      <c r="I139" s="1">
        <v>6.1053240740740741E-2</v>
      </c>
    </row>
    <row r="140" spans="1:9" x14ac:dyDescent="0.3">
      <c r="A140" t="s">
        <v>161</v>
      </c>
      <c r="B140" s="1">
        <v>2.8703703703703703E-2</v>
      </c>
      <c r="C140" s="1">
        <v>1.846064814814815E-2</v>
      </c>
      <c r="D140" s="1">
        <v>0</v>
      </c>
      <c r="E140" s="1">
        <v>0</v>
      </c>
      <c r="F140" s="1">
        <v>0</v>
      </c>
      <c r="G140" s="1">
        <v>6.4814814814814813E-3</v>
      </c>
      <c r="H140" s="1">
        <v>0</v>
      </c>
      <c r="I140" s="1">
        <v>5.364583333333333E-2</v>
      </c>
    </row>
    <row r="141" spans="1:9" x14ac:dyDescent="0.3">
      <c r="A141" t="s">
        <v>162</v>
      </c>
      <c r="B141" s="1">
        <v>2.7835648148148148E-2</v>
      </c>
      <c r="C141" s="1">
        <v>2.042824074074074E-2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4.8263888888888891E-2</v>
      </c>
    </row>
    <row r="142" spans="1:9" x14ac:dyDescent="0.3">
      <c r="A142" t="s">
        <v>163</v>
      </c>
      <c r="B142" s="1">
        <v>2.6157407407407407E-2</v>
      </c>
      <c r="C142" s="1">
        <v>1.7303240740740741E-2</v>
      </c>
      <c r="D142" s="1">
        <v>9.9537037037037042E-3</v>
      </c>
      <c r="E142" s="1">
        <v>0</v>
      </c>
      <c r="F142" s="1">
        <v>0</v>
      </c>
      <c r="G142" s="1">
        <v>0</v>
      </c>
      <c r="H142" s="1">
        <v>0</v>
      </c>
      <c r="I142" s="1">
        <v>5.3414351851851852E-2</v>
      </c>
    </row>
    <row r="143" spans="1:9" x14ac:dyDescent="0.3">
      <c r="A143" t="s">
        <v>164</v>
      </c>
      <c r="B143" s="1">
        <v>2.7662037037037037E-2</v>
      </c>
      <c r="C143" s="1">
        <v>1.9618055555555555E-2</v>
      </c>
      <c r="D143" s="1">
        <v>0</v>
      </c>
      <c r="E143" s="1">
        <v>3.0324074074074073E-2</v>
      </c>
      <c r="F143" s="1">
        <v>0</v>
      </c>
      <c r="G143" s="1">
        <v>0</v>
      </c>
      <c r="H143" s="1">
        <v>0</v>
      </c>
      <c r="I143" s="1">
        <v>7.7604166666666669E-2</v>
      </c>
    </row>
    <row r="144" spans="1:9" x14ac:dyDescent="0.3">
      <c r="A144" t="s">
        <v>165</v>
      </c>
      <c r="B144" s="1">
        <v>2.9456018518518517E-2</v>
      </c>
      <c r="C144" s="1">
        <v>2.0717592592592593E-2</v>
      </c>
      <c r="D144" s="1">
        <v>0</v>
      </c>
      <c r="E144" s="1">
        <v>0</v>
      </c>
      <c r="F144" s="1">
        <v>1.2268518518518519E-2</v>
      </c>
      <c r="G144" s="1">
        <v>0</v>
      </c>
      <c r="H144" s="1">
        <v>0</v>
      </c>
      <c r="I144" s="1">
        <v>6.2442129629629632E-2</v>
      </c>
    </row>
    <row r="145" spans="1:9" x14ac:dyDescent="0.3">
      <c r="A145" t="s">
        <v>166</v>
      </c>
      <c r="B145" s="1">
        <v>2.673611111111111E-2</v>
      </c>
      <c r="C145" s="1">
        <v>1.7881944444444443E-2</v>
      </c>
      <c r="D145" s="1">
        <v>0</v>
      </c>
      <c r="E145" s="1">
        <v>0</v>
      </c>
      <c r="F145" s="1">
        <v>0</v>
      </c>
      <c r="G145" s="1">
        <v>5.2662037037037035E-3</v>
      </c>
      <c r="H145" s="1">
        <v>0</v>
      </c>
      <c r="I145" s="1">
        <v>4.988425925925926E-2</v>
      </c>
    </row>
    <row r="146" spans="1:9" x14ac:dyDescent="0.3">
      <c r="A146" t="s">
        <v>167</v>
      </c>
      <c r="B146" s="1">
        <v>2.795138888888889E-2</v>
      </c>
      <c r="C146" s="1">
        <v>1.9386574074074073E-2</v>
      </c>
      <c r="D146" s="1">
        <v>6.7708333333333336E-3</v>
      </c>
      <c r="E146" s="1">
        <v>0</v>
      </c>
      <c r="F146" s="1">
        <v>0</v>
      </c>
      <c r="G146" s="1">
        <v>0</v>
      </c>
      <c r="H146" s="1">
        <v>0</v>
      </c>
      <c r="I146" s="1">
        <v>5.4108796296296294E-2</v>
      </c>
    </row>
    <row r="147" spans="1:9" x14ac:dyDescent="0.3">
      <c r="A147" t="s">
        <v>168</v>
      </c>
      <c r="B147" s="1">
        <v>2.7372685185185184E-2</v>
      </c>
      <c r="C147" s="1">
        <v>2.0023148148148148E-2</v>
      </c>
      <c r="D147" s="1">
        <v>0</v>
      </c>
      <c r="E147" s="1">
        <v>0</v>
      </c>
      <c r="F147" s="1">
        <v>1.3715277777777778E-2</v>
      </c>
      <c r="G147" s="1">
        <v>0</v>
      </c>
      <c r="H147" s="1">
        <v>0</v>
      </c>
      <c r="I147" s="1">
        <v>7.7604166666666669E-2</v>
      </c>
    </row>
    <row r="148" spans="1:9" x14ac:dyDescent="0.3">
      <c r="A148" t="s">
        <v>169</v>
      </c>
      <c r="B148" s="1">
        <v>2.8993055555555557E-2</v>
      </c>
      <c r="C148" s="1">
        <v>1.8287037037037036E-2</v>
      </c>
      <c r="D148" s="1">
        <v>0</v>
      </c>
      <c r="E148" s="1">
        <v>0</v>
      </c>
      <c r="F148" s="1">
        <v>0</v>
      </c>
      <c r="G148" s="1">
        <v>7.1180555555555554E-3</v>
      </c>
      <c r="H148" s="1">
        <v>0</v>
      </c>
      <c r="I148" s="1">
        <v>5.4398148148148147E-2</v>
      </c>
    </row>
    <row r="149" spans="1:9" x14ac:dyDescent="0.3">
      <c r="A149" t="s">
        <v>170</v>
      </c>
      <c r="B149" s="1">
        <v>2.6967592592592592E-2</v>
      </c>
      <c r="C149" s="1">
        <v>2.0254629629629629E-2</v>
      </c>
      <c r="D149" s="1">
        <v>7.9282407407407409E-3</v>
      </c>
      <c r="E149" s="1">
        <v>0</v>
      </c>
      <c r="F149" s="1">
        <v>0</v>
      </c>
      <c r="G149" s="1">
        <v>0</v>
      </c>
      <c r="H149" s="1">
        <v>0</v>
      </c>
      <c r="I149" s="1">
        <v>5.5150462962962964E-2</v>
      </c>
    </row>
    <row r="150" spans="1:9" x14ac:dyDescent="0.3">
      <c r="A150" t="s">
        <v>171</v>
      </c>
      <c r="B150" s="1">
        <v>2.824074074074074E-2</v>
      </c>
      <c r="C150" s="1">
        <v>1.7708333333333333E-2</v>
      </c>
      <c r="D150" s="1">
        <v>0</v>
      </c>
      <c r="E150" s="1">
        <v>2.7662037037037037E-2</v>
      </c>
      <c r="F150" s="1">
        <v>0</v>
      </c>
      <c r="G150" s="1">
        <v>0</v>
      </c>
      <c r="H150" s="1">
        <v>0</v>
      </c>
      <c r="I150" s="1">
        <v>7.7604166666666669E-2</v>
      </c>
    </row>
    <row r="151" spans="1:9" x14ac:dyDescent="0.3">
      <c r="A151" t="s">
        <v>172</v>
      </c>
      <c r="B151" s="1">
        <v>2.9166666666666667E-2</v>
      </c>
      <c r="C151" s="1">
        <v>2.0659722222222222E-2</v>
      </c>
      <c r="D151" s="1">
        <v>0</v>
      </c>
      <c r="E151" s="1">
        <v>0</v>
      </c>
      <c r="F151" s="1">
        <v>1.2673611111111111E-2</v>
      </c>
      <c r="G151" s="1">
        <v>0</v>
      </c>
      <c r="H151" s="1">
        <v>0</v>
      </c>
      <c r="I151" s="1">
        <v>6.25E-2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49B3D-3338-4C71-AF2C-8CFBD8EE9449}">
  <sheetPr codeName="Sheet2"/>
  <dimension ref="A1:O151"/>
  <sheetViews>
    <sheetView workbookViewId="0">
      <selection activeCell="C24" sqref="C24"/>
    </sheetView>
  </sheetViews>
  <sheetFormatPr defaultRowHeight="14.4" x14ac:dyDescent="0.3"/>
  <cols>
    <col min="1" max="1" width="23.33203125" bestFit="1" customWidth="1"/>
    <col min="2" max="2" width="17.88671875" bestFit="1" customWidth="1"/>
    <col min="3" max="3" width="13.88671875" bestFit="1" customWidth="1"/>
    <col min="4" max="4" width="12.6640625" bestFit="1" customWidth="1"/>
    <col min="5" max="5" width="10.77734375" bestFit="1" customWidth="1"/>
    <col min="6" max="6" width="15" bestFit="1" customWidth="1"/>
    <col min="7" max="7" width="10.44140625" bestFit="1" customWidth="1"/>
    <col min="8" max="8" width="6" bestFit="1" customWidth="1"/>
    <col min="9" max="9" width="13.33203125" bestFit="1" customWidth="1"/>
    <col min="10" max="10" width="10.77734375" bestFit="1" customWidth="1"/>
    <col min="11" max="11" width="15.6640625" bestFit="1" customWidth="1"/>
    <col min="12" max="12" width="11.44140625" bestFit="1" customWidth="1"/>
    <col min="13" max="13" width="12.44140625" bestFit="1" customWidth="1"/>
    <col min="14" max="14" width="9.33203125" bestFit="1" customWidth="1"/>
    <col min="15" max="15" width="14.88671875" bestFit="1" customWidth="1"/>
  </cols>
  <sheetData>
    <row r="1" spans="1:15" x14ac:dyDescent="0.3">
      <c r="A1" s="5" t="s">
        <v>0</v>
      </c>
      <c r="B1" s="5" t="s">
        <v>9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</row>
    <row r="2" spans="1:15" x14ac:dyDescent="0.3">
      <c r="A2" t="s">
        <v>23</v>
      </c>
      <c r="B2" s="1">
        <v>0.34424768518518517</v>
      </c>
      <c r="C2" s="1">
        <v>0.20693287037037036</v>
      </c>
      <c r="D2">
        <v>98</v>
      </c>
      <c r="E2" s="4">
        <v>0.69540000000000002</v>
      </c>
      <c r="F2" s="4">
        <v>0.55700000000000005</v>
      </c>
      <c r="G2" s="4">
        <v>0.57850000000000001</v>
      </c>
      <c r="H2" s="4">
        <v>1E-4</v>
      </c>
      <c r="I2" s="4">
        <v>0.25679999999999997</v>
      </c>
      <c r="J2" s="4">
        <v>2.2499999999999999E-2</v>
      </c>
      <c r="K2" s="4">
        <v>0</v>
      </c>
      <c r="L2" s="4">
        <v>0.1386</v>
      </c>
      <c r="M2" s="4">
        <v>3.5000000000000001E-3</v>
      </c>
      <c r="N2">
        <v>2</v>
      </c>
      <c r="O2">
        <v>3</v>
      </c>
    </row>
    <row r="3" spans="1:15" x14ac:dyDescent="0.3">
      <c r="A3" t="s">
        <v>24</v>
      </c>
      <c r="B3" s="1">
        <v>0.34416666666666668</v>
      </c>
      <c r="C3" s="1">
        <v>0.20733796296296297</v>
      </c>
      <c r="D3">
        <v>23</v>
      </c>
      <c r="E3" s="4">
        <v>0.70130000000000003</v>
      </c>
      <c r="F3" s="4">
        <v>0.58030000000000004</v>
      </c>
      <c r="G3" s="4">
        <v>0.58630000000000004</v>
      </c>
      <c r="H3" s="4">
        <v>0</v>
      </c>
      <c r="I3" s="4">
        <v>0.25369999999999998</v>
      </c>
      <c r="J3" s="4">
        <v>1.61E-2</v>
      </c>
      <c r="K3" s="4">
        <v>0</v>
      </c>
      <c r="L3" s="4">
        <v>0.14119999999999999</v>
      </c>
      <c r="M3" s="4">
        <v>2.5999999999999999E-3</v>
      </c>
      <c r="N3">
        <v>2</v>
      </c>
      <c r="O3">
        <v>1</v>
      </c>
    </row>
    <row r="4" spans="1:15" x14ac:dyDescent="0.3">
      <c r="A4" t="s">
        <v>25</v>
      </c>
      <c r="B4" s="1">
        <v>0.34510416666666666</v>
      </c>
      <c r="C4" s="1">
        <v>0.20109953703703703</v>
      </c>
      <c r="D4">
        <v>28</v>
      </c>
      <c r="E4" s="4">
        <v>0.67769999999999997</v>
      </c>
      <c r="F4" s="4">
        <v>0.5171</v>
      </c>
      <c r="G4" s="4">
        <v>0.54039999999999999</v>
      </c>
      <c r="H4" s="4">
        <v>1.9699999999999999E-2</v>
      </c>
      <c r="I4" s="4">
        <v>0.26450000000000001</v>
      </c>
      <c r="J4" s="4">
        <v>2.2700000000000001E-2</v>
      </c>
      <c r="K4" s="4">
        <v>0</v>
      </c>
      <c r="L4" s="4">
        <v>0.1487</v>
      </c>
      <c r="M4" s="4">
        <v>4.0000000000000001E-3</v>
      </c>
      <c r="N4">
        <v>6</v>
      </c>
      <c r="O4">
        <v>3</v>
      </c>
    </row>
    <row r="5" spans="1:15" x14ac:dyDescent="0.3">
      <c r="A5" t="s">
        <v>26</v>
      </c>
      <c r="B5" s="1">
        <v>0.34023148148148147</v>
      </c>
      <c r="C5" s="1">
        <v>0.17884259259259258</v>
      </c>
      <c r="D5">
        <v>29</v>
      </c>
      <c r="E5" s="4">
        <v>0.72070000000000001</v>
      </c>
      <c r="F5" s="4">
        <v>0.47720000000000001</v>
      </c>
      <c r="G5" s="4">
        <v>0.498</v>
      </c>
      <c r="H5" s="4">
        <v>1E-4</v>
      </c>
      <c r="I5" s="4">
        <v>0.18360000000000001</v>
      </c>
      <c r="J5" s="4">
        <v>2.76E-2</v>
      </c>
      <c r="K5" s="4">
        <v>0</v>
      </c>
      <c r="L5" s="4">
        <v>0.2838</v>
      </c>
      <c r="M5" s="4">
        <v>7.0000000000000001E-3</v>
      </c>
      <c r="N5">
        <v>1</v>
      </c>
      <c r="O5">
        <v>2</v>
      </c>
    </row>
    <row r="6" spans="1:15" x14ac:dyDescent="0.3">
      <c r="A6" t="s">
        <v>27</v>
      </c>
      <c r="B6" s="1">
        <v>0.30603009259259262</v>
      </c>
      <c r="C6" s="1">
        <v>0.13870370370370369</v>
      </c>
      <c r="D6">
        <v>93</v>
      </c>
      <c r="E6" s="4">
        <v>0.77990000000000004</v>
      </c>
      <c r="F6" s="4">
        <v>0.43290000000000001</v>
      </c>
      <c r="G6" s="4">
        <v>0.435</v>
      </c>
      <c r="H6" s="4">
        <v>4.0000000000000002E-4</v>
      </c>
      <c r="I6" s="4">
        <v>0.11360000000000001</v>
      </c>
      <c r="J6" s="4">
        <v>1.7899999999999999E-2</v>
      </c>
      <c r="K6" s="4">
        <v>0</v>
      </c>
      <c r="L6" s="4">
        <v>0.41970000000000002</v>
      </c>
      <c r="M6" s="4">
        <v>1.34E-2</v>
      </c>
      <c r="N6">
        <v>0</v>
      </c>
      <c r="O6">
        <v>4</v>
      </c>
    </row>
    <row r="7" spans="1:15" x14ac:dyDescent="0.3">
      <c r="A7" t="s">
        <v>28</v>
      </c>
      <c r="B7" s="1">
        <v>0.2084375</v>
      </c>
      <c r="C7" s="1">
        <v>0.15369212962962964</v>
      </c>
      <c r="D7">
        <v>92</v>
      </c>
      <c r="E7" s="4">
        <v>0.77600000000000002</v>
      </c>
      <c r="F7" s="4">
        <v>0.65500000000000003</v>
      </c>
      <c r="G7" s="4">
        <v>0.65759999999999996</v>
      </c>
      <c r="H7" s="4">
        <v>8.6E-3</v>
      </c>
      <c r="I7" s="4">
        <v>0.16270000000000001</v>
      </c>
      <c r="J7" s="4">
        <v>7.1199999999999999E-2</v>
      </c>
      <c r="K7" s="4">
        <v>0</v>
      </c>
      <c r="L7" s="4">
        <v>9.0300000000000005E-2</v>
      </c>
      <c r="M7" s="4">
        <v>9.5999999999999992E-3</v>
      </c>
      <c r="N7">
        <v>2</v>
      </c>
      <c r="O7">
        <v>8</v>
      </c>
    </row>
    <row r="8" spans="1:15" x14ac:dyDescent="0.3">
      <c r="A8" t="s">
        <v>29</v>
      </c>
      <c r="B8" s="1">
        <v>0.34488425925925925</v>
      </c>
      <c r="C8" s="1">
        <v>0.17553240740740741</v>
      </c>
      <c r="D8">
        <v>26</v>
      </c>
      <c r="E8" s="4">
        <v>0.55000000000000004</v>
      </c>
      <c r="F8" s="4">
        <v>0.49480000000000002</v>
      </c>
      <c r="G8" s="4">
        <v>0.50070000000000003</v>
      </c>
      <c r="H8" s="4">
        <v>0</v>
      </c>
      <c r="I8" s="4">
        <v>0.15049999999999999</v>
      </c>
      <c r="J8" s="4">
        <v>8.0999999999999996E-3</v>
      </c>
      <c r="K8" s="4">
        <v>0</v>
      </c>
      <c r="L8" s="4">
        <v>0.3256</v>
      </c>
      <c r="M8" s="4">
        <v>1.4999999999999999E-2</v>
      </c>
      <c r="N8">
        <v>0</v>
      </c>
      <c r="O8">
        <v>0</v>
      </c>
    </row>
    <row r="9" spans="1:15" x14ac:dyDescent="0.3">
      <c r="A9" t="s">
        <v>30</v>
      </c>
      <c r="B9" s="1">
        <v>0.38646990740740739</v>
      </c>
      <c r="C9" s="1">
        <v>0.24453703703703702</v>
      </c>
      <c r="D9">
        <v>90</v>
      </c>
      <c r="E9" s="4">
        <v>0.72350000000000003</v>
      </c>
      <c r="F9" s="4">
        <v>0.55130000000000001</v>
      </c>
      <c r="G9" s="4">
        <v>0.58179999999999998</v>
      </c>
      <c r="H9" s="4">
        <v>8.6999999999999994E-3</v>
      </c>
      <c r="I9" s="4">
        <v>0.22789999999999999</v>
      </c>
      <c r="J9" s="4">
        <v>4.2200000000000001E-2</v>
      </c>
      <c r="K9" s="4">
        <v>0</v>
      </c>
      <c r="L9" s="4">
        <v>0.13150000000000001</v>
      </c>
      <c r="M9" s="4">
        <v>7.7999999999999996E-3</v>
      </c>
      <c r="N9">
        <v>0</v>
      </c>
      <c r="O9">
        <v>8</v>
      </c>
    </row>
    <row r="10" spans="1:15" x14ac:dyDescent="0.3">
      <c r="A10" t="s">
        <v>31</v>
      </c>
      <c r="B10" s="1">
        <v>0.34256944444444443</v>
      </c>
      <c r="C10" s="1">
        <v>0.20311342592592593</v>
      </c>
      <c r="D10">
        <v>89</v>
      </c>
      <c r="E10" s="4">
        <v>0.6825</v>
      </c>
      <c r="F10" s="4">
        <v>0.55210000000000004</v>
      </c>
      <c r="G10" s="4">
        <v>0.57530000000000003</v>
      </c>
      <c r="H10" s="4">
        <v>6.9999999999999999E-4</v>
      </c>
      <c r="I10" s="4">
        <v>0.2656</v>
      </c>
      <c r="J10" s="4">
        <v>1.6899999999999998E-2</v>
      </c>
      <c r="K10" s="4">
        <v>0</v>
      </c>
      <c r="L10" s="4">
        <v>0.1351</v>
      </c>
      <c r="M10" s="4">
        <v>6.4000000000000003E-3</v>
      </c>
      <c r="N10">
        <v>4</v>
      </c>
      <c r="O10">
        <v>0</v>
      </c>
    </row>
    <row r="11" spans="1:15" x14ac:dyDescent="0.3">
      <c r="A11" t="s">
        <v>32</v>
      </c>
      <c r="B11" s="1">
        <v>0.34769675925925925</v>
      </c>
      <c r="C11" s="1">
        <v>0.20702546296296295</v>
      </c>
      <c r="D11">
        <v>54</v>
      </c>
      <c r="E11" s="4">
        <v>0.69189999999999996</v>
      </c>
      <c r="F11" s="4">
        <v>0.56869999999999998</v>
      </c>
      <c r="G11" s="4">
        <v>0.58520000000000005</v>
      </c>
      <c r="H11" s="4">
        <v>2.0000000000000001E-4</v>
      </c>
      <c r="I11" s="4">
        <v>0.26119999999999999</v>
      </c>
      <c r="J11" s="4">
        <v>1.01E-2</v>
      </c>
      <c r="K11" s="4">
        <v>0</v>
      </c>
      <c r="L11" s="4">
        <v>0.13969999999999999</v>
      </c>
      <c r="M11" s="4">
        <v>3.7000000000000002E-3</v>
      </c>
      <c r="N11">
        <v>2</v>
      </c>
      <c r="O11">
        <v>0</v>
      </c>
    </row>
    <row r="12" spans="1:15" x14ac:dyDescent="0.3">
      <c r="A12" t="s">
        <v>33</v>
      </c>
      <c r="B12" s="1">
        <v>0.34068287037037037</v>
      </c>
      <c r="C12" s="1">
        <v>0.20518518518518519</v>
      </c>
      <c r="D12">
        <v>87</v>
      </c>
      <c r="E12" s="4">
        <v>0.70099999999999996</v>
      </c>
      <c r="F12" s="4">
        <v>0.56040000000000001</v>
      </c>
      <c r="G12" s="4">
        <v>0.56899999999999995</v>
      </c>
      <c r="H12" s="4">
        <v>1.0699999999999999E-2</v>
      </c>
      <c r="I12" s="4">
        <v>0.24990000000000001</v>
      </c>
      <c r="J12" s="4">
        <v>2.2599999999999999E-2</v>
      </c>
      <c r="K12" s="4">
        <v>0</v>
      </c>
      <c r="L12" s="4">
        <v>0.14119999999999999</v>
      </c>
      <c r="M12" s="4">
        <v>6.7000000000000002E-3</v>
      </c>
      <c r="N12">
        <v>2</v>
      </c>
      <c r="O12">
        <v>3</v>
      </c>
    </row>
    <row r="13" spans="1:15" x14ac:dyDescent="0.3">
      <c r="A13" t="s">
        <v>34</v>
      </c>
      <c r="B13" s="1">
        <v>0.33622685185185186</v>
      </c>
      <c r="C13" s="1">
        <v>0.15812499999999999</v>
      </c>
      <c r="D13">
        <v>65</v>
      </c>
      <c r="E13" s="4">
        <v>0.71240000000000003</v>
      </c>
      <c r="F13" s="4">
        <v>0.41549999999999998</v>
      </c>
      <c r="G13" s="4">
        <v>0.42580000000000001</v>
      </c>
      <c r="H13" s="4">
        <v>0</v>
      </c>
      <c r="I13" s="4">
        <v>0.1462</v>
      </c>
      <c r="J13" s="4">
        <v>4.4499999999999998E-2</v>
      </c>
      <c r="K13" s="4">
        <v>0</v>
      </c>
      <c r="L13" s="4">
        <v>0.3745</v>
      </c>
      <c r="M13" s="4">
        <v>9.1000000000000004E-3</v>
      </c>
      <c r="N13">
        <v>0</v>
      </c>
      <c r="O13">
        <v>8</v>
      </c>
    </row>
    <row r="14" spans="1:15" x14ac:dyDescent="0.3">
      <c r="A14" t="s">
        <v>35</v>
      </c>
      <c r="B14" s="1">
        <v>0.34349537037037037</v>
      </c>
      <c r="C14" s="1">
        <v>0.19699074074074074</v>
      </c>
      <c r="D14">
        <v>85</v>
      </c>
      <c r="E14" s="4">
        <v>0.76959999999999995</v>
      </c>
      <c r="F14" s="4">
        <v>0.50029999999999997</v>
      </c>
      <c r="G14" s="4">
        <v>0.51629999999999998</v>
      </c>
      <c r="H14" s="4">
        <v>1E-4</v>
      </c>
      <c r="I14" s="4">
        <v>0.1663</v>
      </c>
      <c r="J14" s="4">
        <v>5.7099999999999998E-2</v>
      </c>
      <c r="K14" s="4">
        <v>0</v>
      </c>
      <c r="L14" s="4">
        <v>0.25609999999999999</v>
      </c>
      <c r="M14" s="4">
        <v>4.1000000000000003E-3</v>
      </c>
      <c r="N14">
        <v>1</v>
      </c>
      <c r="O14">
        <v>9</v>
      </c>
    </row>
    <row r="15" spans="1:15" x14ac:dyDescent="0.3">
      <c r="A15" t="s">
        <v>36</v>
      </c>
      <c r="B15" s="1">
        <v>0.33321759259259259</v>
      </c>
      <c r="C15" s="1">
        <v>0.19475694444444444</v>
      </c>
      <c r="D15">
        <v>65</v>
      </c>
      <c r="E15" s="4">
        <v>0.68469999999999998</v>
      </c>
      <c r="F15" s="4">
        <v>0.51400000000000001</v>
      </c>
      <c r="G15" s="4">
        <v>0.53139999999999998</v>
      </c>
      <c r="H15" s="4">
        <v>8.8000000000000005E-3</v>
      </c>
      <c r="I15" s="4">
        <v>0.26229999999999998</v>
      </c>
      <c r="J15" s="4">
        <v>4.4299999999999999E-2</v>
      </c>
      <c r="K15" s="4">
        <v>0</v>
      </c>
      <c r="L15" s="4">
        <v>0.14710000000000001</v>
      </c>
      <c r="M15" s="4">
        <v>6.1000000000000004E-3</v>
      </c>
      <c r="N15">
        <v>1</v>
      </c>
      <c r="O15">
        <v>8</v>
      </c>
    </row>
    <row r="16" spans="1:15" x14ac:dyDescent="0.3">
      <c r="A16" t="s">
        <v>37</v>
      </c>
      <c r="B16" s="1">
        <v>0.34512731481481479</v>
      </c>
      <c r="C16" s="1">
        <v>0.2066550925925926</v>
      </c>
      <c r="D16">
        <v>83</v>
      </c>
      <c r="E16" s="4">
        <v>0.69279999999999997</v>
      </c>
      <c r="F16" s="4">
        <v>0.51060000000000005</v>
      </c>
      <c r="G16" s="4">
        <v>0.53900000000000003</v>
      </c>
      <c r="H16" s="4">
        <v>2.81E-2</v>
      </c>
      <c r="I16" s="4">
        <v>0.23669999999999999</v>
      </c>
      <c r="J16" s="4">
        <v>3.1800000000000002E-2</v>
      </c>
      <c r="K16" s="4">
        <v>0</v>
      </c>
      <c r="L16" s="4">
        <v>0.15490000000000001</v>
      </c>
      <c r="M16" s="4">
        <v>9.5999999999999992E-3</v>
      </c>
      <c r="N16">
        <v>2</v>
      </c>
      <c r="O16">
        <v>4</v>
      </c>
    </row>
    <row r="17" spans="1:15" x14ac:dyDescent="0.3">
      <c r="A17" t="s">
        <v>38</v>
      </c>
      <c r="B17" s="1">
        <v>0.34531250000000002</v>
      </c>
      <c r="C17" s="1">
        <v>0.1973611111111111</v>
      </c>
      <c r="D17">
        <v>81</v>
      </c>
      <c r="E17" s="4">
        <v>0.6754</v>
      </c>
      <c r="F17" s="4">
        <v>0.5736</v>
      </c>
      <c r="G17" s="4">
        <v>0.58609999999999995</v>
      </c>
      <c r="H17" s="4">
        <v>0</v>
      </c>
      <c r="I17" s="4">
        <v>0.2737</v>
      </c>
      <c r="J17" s="4">
        <v>1.47E-2</v>
      </c>
      <c r="K17" s="4">
        <v>0</v>
      </c>
      <c r="L17" s="4">
        <v>0.11940000000000001</v>
      </c>
      <c r="M17" s="4">
        <v>6.0000000000000001E-3</v>
      </c>
      <c r="N17">
        <v>1</v>
      </c>
      <c r="O17">
        <v>1</v>
      </c>
    </row>
    <row r="18" spans="1:15" x14ac:dyDescent="0.3">
      <c r="A18" t="s">
        <v>39</v>
      </c>
      <c r="B18" s="1">
        <v>0.34129629629629632</v>
      </c>
      <c r="C18" s="1">
        <v>0.19438657407407409</v>
      </c>
      <c r="D18">
        <v>76</v>
      </c>
      <c r="E18" s="4">
        <v>0.71250000000000002</v>
      </c>
      <c r="F18" s="4">
        <v>0.53239999999999998</v>
      </c>
      <c r="G18" s="4">
        <v>0.55120000000000002</v>
      </c>
      <c r="H18" s="4">
        <v>1.5E-3</v>
      </c>
      <c r="I18" s="4">
        <v>0.21879999999999999</v>
      </c>
      <c r="J18" s="4">
        <v>2.1000000000000001E-2</v>
      </c>
      <c r="K18" s="4">
        <v>0</v>
      </c>
      <c r="L18" s="4">
        <v>0.18340000000000001</v>
      </c>
      <c r="M18" s="4">
        <v>4.1999999999999997E-3</v>
      </c>
      <c r="N18">
        <v>2</v>
      </c>
      <c r="O18">
        <v>3</v>
      </c>
    </row>
    <row r="19" spans="1:15" x14ac:dyDescent="0.3">
      <c r="A19" t="s">
        <v>40</v>
      </c>
      <c r="B19" s="1">
        <v>0.33734953703703702</v>
      </c>
      <c r="C19" s="1">
        <v>0.18652777777777776</v>
      </c>
      <c r="D19">
        <v>72</v>
      </c>
      <c r="E19" s="4">
        <v>0.69869999999999999</v>
      </c>
      <c r="F19" s="4">
        <v>0.52159999999999995</v>
      </c>
      <c r="G19" s="4">
        <v>0.53890000000000005</v>
      </c>
      <c r="H19" s="4">
        <v>3.2000000000000002E-3</v>
      </c>
      <c r="I19" s="4">
        <v>0.2414</v>
      </c>
      <c r="J19" s="4">
        <v>1.84E-2</v>
      </c>
      <c r="K19" s="4">
        <v>0</v>
      </c>
      <c r="L19" s="4">
        <v>0.1628</v>
      </c>
      <c r="M19" s="4">
        <v>5.4999999999999997E-3</v>
      </c>
      <c r="N19">
        <v>3</v>
      </c>
      <c r="O19">
        <v>2</v>
      </c>
    </row>
    <row r="20" spans="1:15" x14ac:dyDescent="0.3">
      <c r="A20" t="s">
        <v>41</v>
      </c>
      <c r="B20" s="1">
        <v>0.34587962962962965</v>
      </c>
      <c r="C20" s="1">
        <v>0.20931712962962962</v>
      </c>
      <c r="D20">
        <v>104</v>
      </c>
      <c r="E20" s="4">
        <v>0.73650000000000004</v>
      </c>
      <c r="F20" s="4">
        <v>0.58409999999999995</v>
      </c>
      <c r="G20" s="4">
        <v>0.60319999999999996</v>
      </c>
      <c r="H20" s="4">
        <v>8.0000000000000004E-4</v>
      </c>
      <c r="I20" s="4">
        <v>0.19620000000000001</v>
      </c>
      <c r="J20" s="4">
        <v>2.3099999999999999E-2</v>
      </c>
      <c r="K20" s="4">
        <v>0</v>
      </c>
      <c r="L20" s="4">
        <v>0.1434</v>
      </c>
      <c r="M20" s="4">
        <v>3.8E-3</v>
      </c>
      <c r="N20">
        <v>1</v>
      </c>
      <c r="O20">
        <v>4</v>
      </c>
    </row>
    <row r="21" spans="1:15" x14ac:dyDescent="0.3">
      <c r="A21" t="s">
        <v>42</v>
      </c>
      <c r="B21" s="1">
        <v>0.33232638888888888</v>
      </c>
      <c r="C21" s="1">
        <v>0.17719907407407406</v>
      </c>
      <c r="D21">
        <v>68</v>
      </c>
      <c r="E21" s="4">
        <v>0.6694</v>
      </c>
      <c r="F21" s="4">
        <v>0.49819999999999998</v>
      </c>
      <c r="G21" s="4">
        <v>0.51200000000000001</v>
      </c>
      <c r="H21" s="4">
        <v>2.2000000000000001E-3</v>
      </c>
      <c r="I21" s="4">
        <v>0.28100000000000003</v>
      </c>
      <c r="J21" s="4">
        <v>1.6199999999999999E-2</v>
      </c>
      <c r="K21" s="4">
        <v>0</v>
      </c>
      <c r="L21" s="4">
        <v>0.1905</v>
      </c>
      <c r="M21" s="4">
        <v>4.7000000000000002E-3</v>
      </c>
      <c r="N21">
        <v>2</v>
      </c>
      <c r="O21">
        <v>1</v>
      </c>
    </row>
    <row r="22" spans="1:15" x14ac:dyDescent="0.3">
      <c r="A22" t="s">
        <v>43</v>
      </c>
      <c r="B22" s="1">
        <v>0.34881944444444446</v>
      </c>
      <c r="C22" s="1">
        <v>0.2129861111111111</v>
      </c>
      <c r="D22">
        <v>109</v>
      </c>
      <c r="E22" s="4">
        <v>0.74209999999999998</v>
      </c>
      <c r="F22" s="4">
        <v>0.59360000000000002</v>
      </c>
      <c r="G22" s="4">
        <v>0.61050000000000004</v>
      </c>
      <c r="H22" s="4">
        <v>1.1000000000000001E-3</v>
      </c>
      <c r="I22" s="4">
        <v>0.1847</v>
      </c>
      <c r="J22" s="4">
        <v>2.8500000000000001E-2</v>
      </c>
      <c r="K22" s="4">
        <v>0</v>
      </c>
      <c r="L22" s="4">
        <v>0.13780000000000001</v>
      </c>
      <c r="M22" s="4">
        <v>3.3E-3</v>
      </c>
      <c r="N22">
        <v>0</v>
      </c>
      <c r="O22">
        <v>5</v>
      </c>
    </row>
    <row r="23" spans="1:15" x14ac:dyDescent="0.3">
      <c r="A23" t="s">
        <v>44</v>
      </c>
      <c r="B23" s="1">
        <v>0.33987268518518521</v>
      </c>
      <c r="C23" s="1">
        <v>0.19187499999999999</v>
      </c>
      <c r="D23">
        <v>79</v>
      </c>
      <c r="E23" s="4">
        <v>0.70420000000000005</v>
      </c>
      <c r="F23" s="4">
        <v>0.54210000000000003</v>
      </c>
      <c r="G23" s="4">
        <v>0.55900000000000005</v>
      </c>
      <c r="H23" s="4">
        <v>1.9E-3</v>
      </c>
      <c r="I23" s="4">
        <v>0.23499999999999999</v>
      </c>
      <c r="J23" s="4">
        <v>1.95E-2</v>
      </c>
      <c r="K23" s="4">
        <v>0</v>
      </c>
      <c r="L23" s="4">
        <v>0.15720000000000001</v>
      </c>
      <c r="M23" s="4">
        <v>4.4000000000000003E-3</v>
      </c>
      <c r="N23">
        <v>3</v>
      </c>
      <c r="O23">
        <v>2</v>
      </c>
    </row>
    <row r="24" spans="1:15" x14ac:dyDescent="0.3">
      <c r="A24" t="s">
        <v>45</v>
      </c>
      <c r="B24" s="1">
        <v>0.34371527777777777</v>
      </c>
      <c r="C24" s="1">
        <v>0.2005787037037037</v>
      </c>
      <c r="D24">
        <v>91</v>
      </c>
      <c r="E24" s="4">
        <v>0.7288</v>
      </c>
      <c r="F24" s="4">
        <v>0.56720000000000004</v>
      </c>
      <c r="G24" s="4">
        <v>0.58260000000000001</v>
      </c>
      <c r="H24" s="4">
        <v>5.0000000000000001E-4</v>
      </c>
      <c r="I24" s="4">
        <v>0.20749999999999999</v>
      </c>
      <c r="J24" s="4">
        <v>2.18E-2</v>
      </c>
      <c r="K24" s="4">
        <v>0</v>
      </c>
      <c r="L24" s="4">
        <v>0.1419</v>
      </c>
      <c r="M24" s="4">
        <v>3.8999999999999998E-3</v>
      </c>
      <c r="N24">
        <v>1</v>
      </c>
      <c r="O24">
        <v>6</v>
      </c>
    </row>
    <row r="25" spans="1:15" x14ac:dyDescent="0.3">
      <c r="A25" t="s">
        <v>46</v>
      </c>
      <c r="B25" s="1">
        <v>0.33796296296296297</v>
      </c>
      <c r="C25" s="1">
        <v>0.18440972222222221</v>
      </c>
      <c r="D25">
        <v>74</v>
      </c>
      <c r="E25" s="4">
        <v>0.68149999999999999</v>
      </c>
      <c r="F25" s="4">
        <v>0.51359999999999995</v>
      </c>
      <c r="G25" s="4">
        <v>0.52910000000000001</v>
      </c>
      <c r="H25" s="4">
        <v>4.4000000000000003E-3</v>
      </c>
      <c r="I25" s="4">
        <v>0.26819999999999999</v>
      </c>
      <c r="J25" s="4">
        <v>1.5699999999999999E-2</v>
      </c>
      <c r="K25" s="4">
        <v>0</v>
      </c>
      <c r="L25" s="4">
        <v>0.17019999999999999</v>
      </c>
      <c r="M25" s="4">
        <v>6.3E-3</v>
      </c>
      <c r="N25">
        <v>4</v>
      </c>
      <c r="O25">
        <v>1</v>
      </c>
    </row>
    <row r="26" spans="1:15" x14ac:dyDescent="0.3">
      <c r="A26" t="s">
        <v>47</v>
      </c>
      <c r="B26" s="1">
        <v>0.34666666666666668</v>
      </c>
      <c r="C26" s="1">
        <v>0.20988425925925927</v>
      </c>
      <c r="D26">
        <v>102</v>
      </c>
      <c r="E26" s="4">
        <v>0.73980000000000001</v>
      </c>
      <c r="F26" s="4">
        <v>0.58930000000000005</v>
      </c>
      <c r="G26" s="4">
        <v>0.60740000000000005</v>
      </c>
      <c r="H26" s="4">
        <v>8.9999999999999998E-4</v>
      </c>
      <c r="I26" s="4">
        <v>0.19339999999999999</v>
      </c>
      <c r="J26" s="4">
        <v>2.47E-2</v>
      </c>
      <c r="K26" s="4">
        <v>0</v>
      </c>
      <c r="L26" s="4">
        <v>0.13550000000000001</v>
      </c>
      <c r="M26" s="4">
        <v>3.5000000000000001E-3</v>
      </c>
      <c r="N26">
        <v>1</v>
      </c>
      <c r="O26">
        <v>3</v>
      </c>
    </row>
    <row r="27" spans="1:15" x14ac:dyDescent="0.3">
      <c r="A27" t="s">
        <v>48</v>
      </c>
      <c r="B27" s="1">
        <v>0.33600694444444446</v>
      </c>
      <c r="C27" s="1">
        <v>0.18171296296296297</v>
      </c>
      <c r="D27">
        <v>70</v>
      </c>
      <c r="E27" s="4">
        <v>0.67830000000000001</v>
      </c>
      <c r="F27" s="4">
        <v>0.50719999999999998</v>
      </c>
      <c r="G27" s="4">
        <v>0.52180000000000004</v>
      </c>
      <c r="H27" s="4">
        <v>2.7000000000000001E-3</v>
      </c>
      <c r="I27" s="4">
        <v>0.27039999999999997</v>
      </c>
      <c r="J27" s="4">
        <v>1.7600000000000001E-2</v>
      </c>
      <c r="K27" s="4">
        <v>0</v>
      </c>
      <c r="L27" s="4">
        <v>0.18099999999999999</v>
      </c>
      <c r="M27" s="4">
        <v>5.1000000000000004E-3</v>
      </c>
      <c r="N27">
        <v>2</v>
      </c>
      <c r="O27">
        <v>2</v>
      </c>
    </row>
    <row r="28" spans="1:15" x14ac:dyDescent="0.3">
      <c r="A28" t="s">
        <v>49</v>
      </c>
      <c r="B28" s="1">
        <v>0.34416666666666668</v>
      </c>
      <c r="C28" s="1">
        <v>0.20449074074074075</v>
      </c>
      <c r="D28">
        <v>95</v>
      </c>
      <c r="E28" s="4">
        <v>0.72309999999999997</v>
      </c>
      <c r="F28" s="4">
        <v>0.57250000000000001</v>
      </c>
      <c r="G28" s="4">
        <v>0.58940000000000003</v>
      </c>
      <c r="H28" s="4">
        <v>1.2999999999999999E-3</v>
      </c>
      <c r="I28" s="4">
        <v>0.20910000000000001</v>
      </c>
      <c r="J28" s="4">
        <v>2.0899999999999998E-2</v>
      </c>
      <c r="K28" s="4">
        <v>0</v>
      </c>
      <c r="L28" s="4">
        <v>0.14560000000000001</v>
      </c>
      <c r="M28" s="4">
        <v>3.7000000000000002E-3</v>
      </c>
      <c r="N28">
        <v>0</v>
      </c>
      <c r="O28">
        <v>4</v>
      </c>
    </row>
    <row r="29" spans="1:15" x14ac:dyDescent="0.3">
      <c r="A29" t="s">
        <v>50</v>
      </c>
      <c r="B29" s="1">
        <v>0.33912037037037035</v>
      </c>
      <c r="C29" s="1">
        <v>0.1897800925925926</v>
      </c>
      <c r="D29">
        <v>78</v>
      </c>
      <c r="E29" s="4">
        <v>0.69550000000000001</v>
      </c>
      <c r="F29" s="4">
        <v>0.53180000000000005</v>
      </c>
      <c r="G29" s="4">
        <v>0.54759999999999998</v>
      </c>
      <c r="H29" s="4">
        <v>2.3999999999999998E-3</v>
      </c>
      <c r="I29" s="4">
        <v>0.2487</v>
      </c>
      <c r="J29" s="4">
        <v>1.6799999999999999E-2</v>
      </c>
      <c r="K29" s="4">
        <v>0</v>
      </c>
      <c r="L29" s="4">
        <v>0.16439999999999999</v>
      </c>
      <c r="M29" s="4">
        <v>4.7999999999999996E-3</v>
      </c>
      <c r="N29">
        <v>3</v>
      </c>
      <c r="O29">
        <v>1</v>
      </c>
    </row>
    <row r="30" spans="1:15" x14ac:dyDescent="0.3">
      <c r="A30" t="s">
        <v>51</v>
      </c>
      <c r="B30" s="1">
        <v>0.34797453703703701</v>
      </c>
      <c r="C30" s="1">
        <v>0.21152777777777779</v>
      </c>
      <c r="D30">
        <v>107</v>
      </c>
      <c r="E30" s="4">
        <v>0.74460000000000004</v>
      </c>
      <c r="F30" s="4">
        <v>0.5958</v>
      </c>
      <c r="G30" s="4">
        <v>0.61219999999999997</v>
      </c>
      <c r="H30" s="4">
        <v>6.9999999999999999E-4</v>
      </c>
      <c r="I30" s="4">
        <v>0.1895</v>
      </c>
      <c r="J30" s="4">
        <v>2.6200000000000001E-2</v>
      </c>
      <c r="K30" s="4">
        <v>0</v>
      </c>
      <c r="L30" s="4">
        <v>0.1321</v>
      </c>
      <c r="M30" s="4">
        <v>3.0999999999999999E-3</v>
      </c>
      <c r="N30">
        <v>1</v>
      </c>
      <c r="O30">
        <v>5</v>
      </c>
    </row>
    <row r="31" spans="1:15" x14ac:dyDescent="0.3">
      <c r="A31" t="s">
        <v>52</v>
      </c>
      <c r="B31" s="1">
        <v>0.34076388888888887</v>
      </c>
      <c r="C31" s="1">
        <v>0.19542824074074075</v>
      </c>
      <c r="D31">
        <v>84</v>
      </c>
      <c r="E31" s="4">
        <v>0.70960000000000001</v>
      </c>
      <c r="F31" s="4">
        <v>0.5504</v>
      </c>
      <c r="G31" s="4">
        <v>0.56579999999999997</v>
      </c>
      <c r="H31" s="4">
        <v>1.8E-3</v>
      </c>
      <c r="I31" s="4">
        <v>0.2273</v>
      </c>
      <c r="J31" s="4">
        <v>1.9199999999999998E-2</v>
      </c>
      <c r="K31" s="4">
        <v>0</v>
      </c>
      <c r="L31" s="4">
        <v>0.151</v>
      </c>
      <c r="M31" s="4">
        <v>4.3E-3</v>
      </c>
      <c r="N31">
        <v>2</v>
      </c>
      <c r="O31">
        <v>2</v>
      </c>
    </row>
    <row r="32" spans="1:15" x14ac:dyDescent="0.3">
      <c r="A32" t="s">
        <v>53</v>
      </c>
      <c r="B32" s="1">
        <v>0.34465277777777775</v>
      </c>
      <c r="C32" s="1">
        <v>0.20636574074074074</v>
      </c>
      <c r="D32">
        <v>97</v>
      </c>
      <c r="E32" s="4">
        <v>0.73119999999999996</v>
      </c>
      <c r="F32" s="4">
        <v>0.57809999999999995</v>
      </c>
      <c r="G32" s="4">
        <v>0.59399999999999997</v>
      </c>
      <c r="H32" s="4">
        <v>1E-3</v>
      </c>
      <c r="I32" s="4">
        <v>0.2014</v>
      </c>
      <c r="J32" s="4">
        <v>2.2100000000000002E-2</v>
      </c>
      <c r="K32" s="4">
        <v>0</v>
      </c>
      <c r="L32" s="4">
        <v>0.14019999999999999</v>
      </c>
      <c r="M32" s="4">
        <v>3.5999999999999999E-3</v>
      </c>
      <c r="N32">
        <v>1</v>
      </c>
      <c r="O32">
        <v>4</v>
      </c>
    </row>
    <row r="33" spans="1:15" x14ac:dyDescent="0.3">
      <c r="A33" t="s">
        <v>54</v>
      </c>
      <c r="B33" s="1">
        <v>0.33674768518518516</v>
      </c>
      <c r="C33" s="1">
        <v>0.18524305555555556</v>
      </c>
      <c r="D33">
        <v>73</v>
      </c>
      <c r="E33" s="4">
        <v>0.68720000000000003</v>
      </c>
      <c r="F33" s="4">
        <v>0.52429999999999999</v>
      </c>
      <c r="G33" s="4">
        <v>0.53949999999999998</v>
      </c>
      <c r="H33" s="4">
        <v>2.8999999999999998E-3</v>
      </c>
      <c r="I33" s="4">
        <v>0.25979999999999998</v>
      </c>
      <c r="J33" s="4">
        <v>1.7100000000000001E-2</v>
      </c>
      <c r="K33" s="4">
        <v>0</v>
      </c>
      <c r="L33" s="4">
        <v>0.17319999999999999</v>
      </c>
      <c r="M33" s="4">
        <v>5.7000000000000002E-3</v>
      </c>
      <c r="N33">
        <v>3</v>
      </c>
      <c r="O33">
        <v>1</v>
      </c>
    </row>
    <row r="34" spans="1:15" x14ac:dyDescent="0.3">
      <c r="A34" t="s">
        <v>55</v>
      </c>
      <c r="B34" s="1">
        <v>0.34618055555555555</v>
      </c>
      <c r="C34" s="1">
        <v>0.2089351851851852</v>
      </c>
      <c r="D34">
        <v>101</v>
      </c>
      <c r="E34" s="4">
        <v>0.73839999999999995</v>
      </c>
      <c r="F34" s="4">
        <v>0.5867</v>
      </c>
      <c r="G34" s="4">
        <v>0.60289999999999999</v>
      </c>
      <c r="H34" s="4">
        <v>5.9999999999999995E-4</v>
      </c>
      <c r="I34" s="4">
        <v>0.1951</v>
      </c>
      <c r="J34" s="4">
        <v>2.3900000000000001E-2</v>
      </c>
      <c r="K34" s="4">
        <v>0</v>
      </c>
      <c r="L34" s="4">
        <v>0.1384</v>
      </c>
      <c r="M34" s="4">
        <v>3.3999999999999998E-3</v>
      </c>
      <c r="N34">
        <v>0</v>
      </c>
      <c r="O34">
        <v>5</v>
      </c>
    </row>
    <row r="35" spans="1:15" x14ac:dyDescent="0.3">
      <c r="A35" t="s">
        <v>56</v>
      </c>
      <c r="B35" s="1">
        <v>0.33833333333333332</v>
      </c>
      <c r="C35" s="1">
        <v>0.18842592592592591</v>
      </c>
      <c r="D35">
        <v>77</v>
      </c>
      <c r="E35" s="4">
        <v>0.69310000000000005</v>
      </c>
      <c r="F35" s="4">
        <v>0.53049999999999997</v>
      </c>
      <c r="G35" s="4">
        <v>0.54600000000000004</v>
      </c>
      <c r="H35" s="4">
        <v>2.0999999999999999E-3</v>
      </c>
      <c r="I35" s="4">
        <v>0.2455</v>
      </c>
      <c r="J35" s="4">
        <v>1.8200000000000001E-2</v>
      </c>
      <c r="K35" s="4">
        <v>0</v>
      </c>
      <c r="L35" s="4">
        <v>0.16109999999999999</v>
      </c>
      <c r="M35" s="4">
        <v>4.5999999999999999E-3</v>
      </c>
      <c r="N35">
        <v>2</v>
      </c>
      <c r="O35">
        <v>2</v>
      </c>
    </row>
    <row r="36" spans="1:15" x14ac:dyDescent="0.3">
      <c r="A36" t="s">
        <v>57</v>
      </c>
      <c r="B36" s="1">
        <v>0.34775462962962961</v>
      </c>
      <c r="C36" s="1">
        <v>0.21201388888888889</v>
      </c>
      <c r="D36">
        <v>108</v>
      </c>
      <c r="E36" s="4">
        <v>0.74080000000000001</v>
      </c>
      <c r="F36" s="4">
        <v>0.59119999999999995</v>
      </c>
      <c r="G36" s="4">
        <v>0.60880000000000001</v>
      </c>
      <c r="H36" s="4">
        <v>8.0000000000000004E-4</v>
      </c>
      <c r="I36" s="4">
        <v>0.18729999999999999</v>
      </c>
      <c r="J36" s="4">
        <v>2.58E-2</v>
      </c>
      <c r="K36" s="4">
        <v>0</v>
      </c>
      <c r="L36" s="4">
        <v>0.1346</v>
      </c>
      <c r="M36" s="4">
        <v>3.2000000000000002E-3</v>
      </c>
      <c r="N36">
        <v>1</v>
      </c>
      <c r="O36">
        <v>6</v>
      </c>
    </row>
    <row r="37" spans="1:15" x14ac:dyDescent="0.3">
      <c r="A37" t="s">
        <v>58</v>
      </c>
      <c r="B37" s="1">
        <v>0.34195601851851853</v>
      </c>
      <c r="C37" s="1">
        <v>0.198125</v>
      </c>
      <c r="D37">
        <v>86</v>
      </c>
      <c r="E37" s="4">
        <v>0.71179999999999999</v>
      </c>
      <c r="F37" s="4">
        <v>0.55420000000000003</v>
      </c>
      <c r="G37" s="4">
        <v>0.57079999999999997</v>
      </c>
      <c r="H37" s="4">
        <v>1.4E-3</v>
      </c>
      <c r="I37" s="4">
        <v>0.2215</v>
      </c>
      <c r="J37" s="4">
        <v>1.9599999999999999E-2</v>
      </c>
      <c r="K37" s="4">
        <v>0</v>
      </c>
      <c r="L37" s="4">
        <v>0.1502</v>
      </c>
      <c r="M37" s="4">
        <v>4.1000000000000003E-3</v>
      </c>
      <c r="N37">
        <v>2</v>
      </c>
      <c r="O37">
        <v>3</v>
      </c>
    </row>
    <row r="38" spans="1:15" x14ac:dyDescent="0.3">
      <c r="A38" t="s">
        <v>59</v>
      </c>
      <c r="B38" s="1">
        <v>0.33796296296296297</v>
      </c>
      <c r="C38" s="1">
        <v>0.18744212962962964</v>
      </c>
      <c r="D38">
        <v>75</v>
      </c>
      <c r="E38" s="4">
        <v>0.68940000000000001</v>
      </c>
      <c r="F38" s="4">
        <v>0.52359999999999995</v>
      </c>
      <c r="G38" s="4">
        <v>0.53820000000000001</v>
      </c>
      <c r="H38" s="4">
        <v>3.0999999999999999E-3</v>
      </c>
      <c r="I38" s="4">
        <v>0.25430000000000003</v>
      </c>
      <c r="J38" s="4">
        <v>1.7399999999999999E-2</v>
      </c>
      <c r="K38" s="4">
        <v>0</v>
      </c>
      <c r="L38" s="4">
        <v>0.16980000000000001</v>
      </c>
      <c r="M38" s="4">
        <v>5.1999999999999998E-3</v>
      </c>
      <c r="N38">
        <v>3</v>
      </c>
      <c r="O38">
        <v>1</v>
      </c>
    </row>
    <row r="39" spans="1:15" x14ac:dyDescent="0.3">
      <c r="A39" t="s">
        <v>60</v>
      </c>
      <c r="B39" s="1">
        <v>0.34600694444444446</v>
      </c>
      <c r="C39" s="1">
        <v>0.20951388888888889</v>
      </c>
      <c r="D39">
        <v>103</v>
      </c>
      <c r="E39" s="4">
        <v>0.73919999999999997</v>
      </c>
      <c r="F39" s="4">
        <v>0.58750000000000002</v>
      </c>
      <c r="G39" s="4">
        <v>0.60409999999999997</v>
      </c>
      <c r="H39" s="4">
        <v>8.9999999999999998E-4</v>
      </c>
      <c r="I39" s="4">
        <v>0.1928</v>
      </c>
      <c r="J39" s="4">
        <v>2.4400000000000002E-2</v>
      </c>
      <c r="K39" s="4">
        <v>0</v>
      </c>
      <c r="L39" s="4">
        <v>0.13850000000000001</v>
      </c>
      <c r="M39" s="4">
        <v>3.5999999999999999E-3</v>
      </c>
      <c r="N39">
        <v>1</v>
      </c>
      <c r="O39">
        <v>5</v>
      </c>
    </row>
    <row r="40" spans="1:15" x14ac:dyDescent="0.3">
      <c r="A40" t="s">
        <v>61</v>
      </c>
      <c r="B40" s="1">
        <v>0.34025462962962966</v>
      </c>
      <c r="C40" s="1">
        <v>0.19259259259259259</v>
      </c>
      <c r="D40">
        <v>80</v>
      </c>
      <c r="E40" s="4">
        <v>0.70250000000000001</v>
      </c>
      <c r="F40" s="4">
        <v>0.54179999999999995</v>
      </c>
      <c r="G40" s="4">
        <v>0.55789999999999995</v>
      </c>
      <c r="H40" s="4">
        <v>1.6999999999999999E-3</v>
      </c>
      <c r="I40" s="4">
        <v>0.23619999999999999</v>
      </c>
      <c r="J40" s="4">
        <v>1.89E-2</v>
      </c>
      <c r="K40" s="4">
        <v>0</v>
      </c>
      <c r="L40" s="4">
        <v>0.15670000000000001</v>
      </c>
      <c r="M40" s="4">
        <v>4.4999999999999997E-3</v>
      </c>
      <c r="N40">
        <v>2</v>
      </c>
      <c r="O40">
        <v>2</v>
      </c>
    </row>
    <row r="41" spans="1:15" x14ac:dyDescent="0.3">
      <c r="A41" t="s">
        <v>62</v>
      </c>
      <c r="B41" s="1">
        <v>0.34803240740740743</v>
      </c>
      <c r="C41" s="1">
        <v>0.21284722222222222</v>
      </c>
      <c r="D41">
        <v>110</v>
      </c>
      <c r="E41" s="4">
        <v>0.74550000000000005</v>
      </c>
      <c r="F41" s="4">
        <v>0.5948</v>
      </c>
      <c r="G41" s="4">
        <v>0.61140000000000005</v>
      </c>
      <c r="H41" s="4">
        <v>5.9999999999999995E-4</v>
      </c>
      <c r="I41" s="4">
        <v>0.18609999999999999</v>
      </c>
      <c r="J41" s="4">
        <v>2.6499999999999999E-2</v>
      </c>
      <c r="K41" s="4">
        <v>0</v>
      </c>
      <c r="L41" s="4">
        <v>0.13189999999999999</v>
      </c>
      <c r="M41" s="4">
        <v>3.3E-3</v>
      </c>
      <c r="N41">
        <v>0</v>
      </c>
      <c r="O41">
        <v>6</v>
      </c>
    </row>
    <row r="42" spans="1:15" x14ac:dyDescent="0.3">
      <c r="A42" t="s">
        <v>63</v>
      </c>
      <c r="B42" s="1">
        <v>0.33706018518518521</v>
      </c>
      <c r="C42" s="1">
        <v>0.18449074074074073</v>
      </c>
      <c r="D42">
        <v>71</v>
      </c>
      <c r="E42" s="4">
        <v>0.67879999999999996</v>
      </c>
      <c r="F42" s="4">
        <v>0.51949999999999996</v>
      </c>
      <c r="G42" s="4">
        <v>0.53410000000000002</v>
      </c>
      <c r="H42" s="4">
        <v>2.8E-3</v>
      </c>
      <c r="I42" s="4">
        <v>0.26150000000000001</v>
      </c>
      <c r="J42" s="4">
        <v>1.6799999999999999E-2</v>
      </c>
      <c r="K42" s="4">
        <v>0</v>
      </c>
      <c r="L42" s="4">
        <v>0.1744</v>
      </c>
      <c r="M42" s="4">
        <v>5.4999999999999997E-3</v>
      </c>
      <c r="N42">
        <v>4</v>
      </c>
      <c r="O42">
        <v>1</v>
      </c>
    </row>
    <row r="43" spans="1:15" x14ac:dyDescent="0.3">
      <c r="A43" t="s">
        <v>64</v>
      </c>
      <c r="B43" s="1">
        <v>0.34554398148148147</v>
      </c>
      <c r="C43" s="1">
        <v>0.20708333333333334</v>
      </c>
      <c r="D43">
        <v>99</v>
      </c>
      <c r="E43" s="4">
        <v>0.73340000000000005</v>
      </c>
      <c r="F43" s="4">
        <v>0.58120000000000005</v>
      </c>
      <c r="G43" s="4">
        <v>0.59760000000000002</v>
      </c>
      <c r="H43" s="4">
        <v>1.1000000000000001E-3</v>
      </c>
      <c r="I43" s="4">
        <v>0.19969999999999999</v>
      </c>
      <c r="J43" s="4">
        <v>2.2800000000000001E-2</v>
      </c>
      <c r="K43" s="4">
        <v>0</v>
      </c>
      <c r="L43" s="4">
        <v>0.14030000000000001</v>
      </c>
      <c r="M43" s="4">
        <v>3.7000000000000002E-3</v>
      </c>
      <c r="N43">
        <v>1</v>
      </c>
      <c r="O43">
        <v>4</v>
      </c>
    </row>
    <row r="44" spans="1:15" x14ac:dyDescent="0.3">
      <c r="A44" t="s">
        <v>65</v>
      </c>
      <c r="B44" s="1">
        <v>0.33940972222222221</v>
      </c>
      <c r="C44" s="1">
        <v>0.19091435185185185</v>
      </c>
      <c r="D44">
        <v>78</v>
      </c>
      <c r="E44" s="4">
        <v>0.69720000000000004</v>
      </c>
      <c r="F44" s="4">
        <v>0.53410000000000002</v>
      </c>
      <c r="G44" s="4">
        <v>0.54969999999999997</v>
      </c>
      <c r="H44" s="4">
        <v>2.2000000000000001E-3</v>
      </c>
      <c r="I44" s="4">
        <v>0.24729999999999999</v>
      </c>
      <c r="J44" s="4">
        <v>1.83E-2</v>
      </c>
      <c r="K44" s="4">
        <v>0</v>
      </c>
      <c r="L44" s="4">
        <v>0.16239999999999999</v>
      </c>
      <c r="M44" s="4">
        <v>4.7999999999999996E-3</v>
      </c>
      <c r="N44">
        <v>2</v>
      </c>
      <c r="O44">
        <v>2</v>
      </c>
    </row>
    <row r="45" spans="1:15" x14ac:dyDescent="0.3">
      <c r="A45" t="s">
        <v>66</v>
      </c>
      <c r="B45" s="1">
        <v>0.3475462962962963</v>
      </c>
      <c r="C45" s="1">
        <v>0.21087962962962964</v>
      </c>
      <c r="D45">
        <v>106</v>
      </c>
      <c r="E45" s="4">
        <v>0.74180000000000001</v>
      </c>
      <c r="F45" s="4">
        <v>0.59060000000000001</v>
      </c>
      <c r="G45" s="4">
        <v>0.60719999999999996</v>
      </c>
      <c r="H45" s="4">
        <v>6.9999999999999999E-4</v>
      </c>
      <c r="I45" s="4">
        <v>0.18840000000000001</v>
      </c>
      <c r="J45" s="4">
        <v>2.5700000000000001E-2</v>
      </c>
      <c r="K45" s="4">
        <v>0</v>
      </c>
      <c r="L45" s="4">
        <v>0.1338</v>
      </c>
      <c r="M45" s="4">
        <v>3.3999999999999998E-3</v>
      </c>
      <c r="N45">
        <v>1</v>
      </c>
      <c r="O45">
        <v>5</v>
      </c>
    </row>
    <row r="46" spans="1:15" x14ac:dyDescent="0.3">
      <c r="A46" t="s">
        <v>67</v>
      </c>
      <c r="B46" s="1">
        <v>0.34114583333333331</v>
      </c>
      <c r="C46" s="1">
        <v>0.19618055555555555</v>
      </c>
      <c r="D46">
        <v>83</v>
      </c>
      <c r="E46" s="4">
        <v>0.70609999999999995</v>
      </c>
      <c r="F46" s="4">
        <v>0.54820000000000002</v>
      </c>
      <c r="G46" s="4">
        <v>0.5635</v>
      </c>
      <c r="H46" s="4">
        <v>1.6000000000000001E-3</v>
      </c>
      <c r="I46" s="4">
        <v>0.22939999999999999</v>
      </c>
      <c r="J46" s="4">
        <v>1.9099999999999999E-2</v>
      </c>
      <c r="K46" s="4">
        <v>0</v>
      </c>
      <c r="L46" s="4">
        <v>0.15390000000000001</v>
      </c>
      <c r="M46" s="4">
        <v>4.1999999999999997E-3</v>
      </c>
      <c r="N46">
        <v>2</v>
      </c>
      <c r="O46">
        <v>3</v>
      </c>
    </row>
    <row r="47" spans="1:15" x14ac:dyDescent="0.3">
      <c r="A47" t="s">
        <v>68</v>
      </c>
      <c r="B47" s="1">
        <v>0.3470138888888889</v>
      </c>
      <c r="C47" s="1">
        <v>0.20850694444444445</v>
      </c>
      <c r="D47">
        <v>101</v>
      </c>
      <c r="E47" s="4">
        <v>0.73760000000000003</v>
      </c>
      <c r="F47" s="4">
        <v>0.58630000000000004</v>
      </c>
      <c r="G47" s="4">
        <v>0.60209999999999997</v>
      </c>
      <c r="H47" s="4">
        <v>8.0000000000000004E-4</v>
      </c>
      <c r="I47" s="4">
        <v>0.19420000000000001</v>
      </c>
      <c r="J47" s="4">
        <v>2.3599999999999999E-2</v>
      </c>
      <c r="K47" s="4">
        <v>0</v>
      </c>
      <c r="L47" s="4">
        <v>0.13780000000000001</v>
      </c>
      <c r="M47" s="4">
        <v>3.5000000000000001E-3</v>
      </c>
      <c r="N47">
        <v>0</v>
      </c>
      <c r="O47">
        <v>4</v>
      </c>
    </row>
    <row r="48" spans="1:15" x14ac:dyDescent="0.3">
      <c r="A48" t="s">
        <v>69</v>
      </c>
      <c r="B48" s="1">
        <v>0.33883101851851855</v>
      </c>
      <c r="C48" s="1">
        <v>0.18805555555555556</v>
      </c>
      <c r="D48">
        <v>76</v>
      </c>
      <c r="E48" s="4">
        <v>0.69079999999999997</v>
      </c>
      <c r="F48" s="4">
        <v>0.52880000000000005</v>
      </c>
      <c r="G48" s="4">
        <v>0.54390000000000005</v>
      </c>
      <c r="H48" s="4">
        <v>2.5000000000000001E-3</v>
      </c>
      <c r="I48" s="4">
        <v>0.25209999999999999</v>
      </c>
      <c r="J48" s="4">
        <v>1.7899999999999999E-2</v>
      </c>
      <c r="K48" s="4">
        <v>0</v>
      </c>
      <c r="L48" s="4">
        <v>0.16569999999999999</v>
      </c>
      <c r="M48" s="4">
        <v>5.0000000000000001E-3</v>
      </c>
      <c r="N48">
        <v>3</v>
      </c>
      <c r="O48">
        <v>1</v>
      </c>
    </row>
    <row r="49" spans="1:15" x14ac:dyDescent="0.3">
      <c r="A49" t="s">
        <v>70</v>
      </c>
      <c r="B49" s="1">
        <v>0.34641203703703705</v>
      </c>
      <c r="C49" s="1">
        <v>0.21001157407407409</v>
      </c>
      <c r="D49">
        <v>104</v>
      </c>
      <c r="E49" s="4">
        <v>0.74019999999999997</v>
      </c>
      <c r="F49" s="4">
        <v>0.58889999999999998</v>
      </c>
      <c r="G49" s="4">
        <v>0.60560000000000003</v>
      </c>
      <c r="H49" s="4">
        <v>8.9999999999999998E-4</v>
      </c>
      <c r="I49" s="4">
        <v>0.19159999999999999</v>
      </c>
      <c r="J49" s="4">
        <v>2.4799999999999999E-2</v>
      </c>
      <c r="K49" s="4">
        <v>0</v>
      </c>
      <c r="L49" s="4">
        <v>0.13619999999999999</v>
      </c>
      <c r="M49" s="4">
        <v>3.5999999999999999E-3</v>
      </c>
      <c r="N49">
        <v>1</v>
      </c>
      <c r="O49">
        <v>5</v>
      </c>
    </row>
    <row r="50" spans="1:15" x14ac:dyDescent="0.3">
      <c r="A50" t="s">
        <v>71</v>
      </c>
      <c r="B50" s="1">
        <v>0.34033564814814815</v>
      </c>
      <c r="C50" s="1">
        <v>0.19319444444444445</v>
      </c>
      <c r="D50">
        <v>81</v>
      </c>
      <c r="E50" s="4">
        <v>0.70109999999999995</v>
      </c>
      <c r="F50" s="4">
        <v>0.54349999999999998</v>
      </c>
      <c r="G50" s="4">
        <v>0.55910000000000004</v>
      </c>
      <c r="H50" s="4">
        <v>1.8E-3</v>
      </c>
      <c r="I50" s="4">
        <v>0.23380000000000001</v>
      </c>
      <c r="J50" s="4">
        <v>1.8700000000000001E-2</v>
      </c>
      <c r="K50" s="4">
        <v>0</v>
      </c>
      <c r="L50" s="4">
        <v>0.1588</v>
      </c>
      <c r="M50" s="4">
        <v>4.4000000000000003E-3</v>
      </c>
      <c r="N50">
        <v>2</v>
      </c>
      <c r="O50">
        <v>2</v>
      </c>
    </row>
    <row r="51" spans="1:15" x14ac:dyDescent="0.3">
      <c r="A51" t="s">
        <v>72</v>
      </c>
      <c r="B51" s="1">
        <v>0.34875</v>
      </c>
      <c r="C51" s="1">
        <v>0.21325231481481483</v>
      </c>
      <c r="D51">
        <v>111</v>
      </c>
      <c r="E51" s="4">
        <v>0.74709999999999999</v>
      </c>
      <c r="F51" s="4">
        <v>0.59709999999999996</v>
      </c>
      <c r="G51" s="4">
        <v>0.6139</v>
      </c>
      <c r="H51" s="4">
        <v>5.0000000000000001E-4</v>
      </c>
      <c r="I51" s="4">
        <v>0.1842</v>
      </c>
      <c r="J51" s="4">
        <v>2.69E-2</v>
      </c>
      <c r="K51" s="4">
        <v>0</v>
      </c>
      <c r="L51" s="4">
        <v>0.1305</v>
      </c>
      <c r="M51" s="4">
        <v>3.0999999999999999E-3</v>
      </c>
      <c r="N51">
        <v>0</v>
      </c>
      <c r="O51">
        <v>6</v>
      </c>
    </row>
    <row r="52" spans="1:15" x14ac:dyDescent="0.3">
      <c r="A52" t="s">
        <v>73</v>
      </c>
      <c r="B52" s="1">
        <v>0.3379050925925926</v>
      </c>
      <c r="C52" s="1">
        <v>0.1857638888888889</v>
      </c>
      <c r="D52">
        <v>72</v>
      </c>
      <c r="E52" s="4">
        <v>0.68359999999999999</v>
      </c>
      <c r="F52" s="4">
        <v>0.52100000000000002</v>
      </c>
      <c r="G52" s="4">
        <v>0.53580000000000005</v>
      </c>
      <c r="H52" s="4">
        <v>2.7000000000000001E-3</v>
      </c>
      <c r="I52" s="4">
        <v>0.25869999999999999</v>
      </c>
      <c r="J52" s="4">
        <v>1.72E-2</v>
      </c>
      <c r="K52" s="4">
        <v>0</v>
      </c>
      <c r="L52" s="4">
        <v>0.1709</v>
      </c>
      <c r="M52" s="4">
        <v>5.3E-3</v>
      </c>
      <c r="N52">
        <v>3</v>
      </c>
      <c r="O52">
        <v>1</v>
      </c>
    </row>
    <row r="53" spans="1:15" x14ac:dyDescent="0.3">
      <c r="A53" t="s">
        <v>74</v>
      </c>
      <c r="B53" s="1">
        <v>0.34569444444444447</v>
      </c>
      <c r="C53" s="1">
        <v>0.20581018518518518</v>
      </c>
      <c r="D53">
        <v>96</v>
      </c>
      <c r="E53" s="4">
        <v>0.7298</v>
      </c>
      <c r="F53" s="4">
        <v>0.57950000000000002</v>
      </c>
      <c r="G53" s="4">
        <v>0.59550000000000003</v>
      </c>
      <c r="H53" s="4">
        <v>1E-3</v>
      </c>
      <c r="I53" s="4">
        <v>0.20280000000000001</v>
      </c>
      <c r="J53" s="4">
        <v>2.24E-2</v>
      </c>
      <c r="K53" s="4">
        <v>0</v>
      </c>
      <c r="L53" s="4">
        <v>0.14119999999999999</v>
      </c>
      <c r="M53" s="4">
        <v>3.8E-3</v>
      </c>
      <c r="N53">
        <v>1</v>
      </c>
      <c r="O53">
        <v>4</v>
      </c>
    </row>
    <row r="54" spans="1:15" x14ac:dyDescent="0.3">
      <c r="A54" t="s">
        <v>75</v>
      </c>
      <c r="B54" s="1">
        <v>0.33981481481481479</v>
      </c>
      <c r="C54" s="1">
        <v>0.19114583333333332</v>
      </c>
      <c r="D54">
        <v>79</v>
      </c>
      <c r="E54" s="4">
        <v>0.69840000000000002</v>
      </c>
      <c r="F54" s="4">
        <v>0.53580000000000005</v>
      </c>
      <c r="G54" s="4">
        <v>0.55100000000000005</v>
      </c>
      <c r="H54" s="4">
        <v>2.0999999999999999E-3</v>
      </c>
      <c r="I54" s="4">
        <v>0.24579999999999999</v>
      </c>
      <c r="J54" s="4">
        <v>1.8499999999999999E-2</v>
      </c>
      <c r="K54" s="4">
        <v>0</v>
      </c>
      <c r="L54" s="4">
        <v>0.16009999999999999</v>
      </c>
      <c r="M54" s="4">
        <v>4.7000000000000002E-3</v>
      </c>
      <c r="N54">
        <v>2</v>
      </c>
      <c r="O54">
        <v>2</v>
      </c>
    </row>
    <row r="55" spans="1:15" x14ac:dyDescent="0.3">
      <c r="A55" t="s">
        <v>76</v>
      </c>
      <c r="B55" s="1">
        <v>0.34797453703703701</v>
      </c>
      <c r="C55" s="1">
        <v>0.21163194444444444</v>
      </c>
      <c r="D55">
        <v>108</v>
      </c>
      <c r="E55" s="4">
        <v>0.74329999999999996</v>
      </c>
      <c r="F55" s="4">
        <v>0.59219999999999995</v>
      </c>
      <c r="G55" s="4">
        <v>0.60899999999999999</v>
      </c>
      <c r="H55" s="4">
        <v>6.9999999999999999E-4</v>
      </c>
      <c r="I55" s="4">
        <v>0.18759999999999999</v>
      </c>
      <c r="J55" s="4">
        <v>2.6100000000000002E-2</v>
      </c>
      <c r="K55" s="4">
        <v>0</v>
      </c>
      <c r="L55" s="4">
        <v>0.13289999999999999</v>
      </c>
      <c r="M55" s="4">
        <v>3.3E-3</v>
      </c>
      <c r="N55">
        <v>1</v>
      </c>
      <c r="O55">
        <v>5</v>
      </c>
    </row>
    <row r="56" spans="1:15" x14ac:dyDescent="0.3">
      <c r="A56" t="s">
        <v>77</v>
      </c>
      <c r="B56" s="1">
        <v>0.34212962962962962</v>
      </c>
      <c r="C56" s="1">
        <v>0.19710648148148149</v>
      </c>
      <c r="D56">
        <v>84</v>
      </c>
      <c r="E56" s="4">
        <v>0.70879999999999999</v>
      </c>
      <c r="F56" s="4">
        <v>0.55030000000000001</v>
      </c>
      <c r="G56" s="4">
        <v>0.56610000000000005</v>
      </c>
      <c r="H56" s="4">
        <v>1.5E-3</v>
      </c>
      <c r="I56" s="4">
        <v>0.22670000000000001</v>
      </c>
      <c r="J56" s="4">
        <v>1.9300000000000001E-2</v>
      </c>
      <c r="K56" s="4">
        <v>0</v>
      </c>
      <c r="L56" s="4">
        <v>0.15240000000000001</v>
      </c>
      <c r="M56" s="4">
        <v>4.1000000000000003E-3</v>
      </c>
      <c r="N56">
        <v>2</v>
      </c>
      <c r="O56">
        <v>3</v>
      </c>
    </row>
    <row r="57" spans="1:15" x14ac:dyDescent="0.3">
      <c r="A57" t="s">
        <v>78</v>
      </c>
      <c r="B57" s="1">
        <v>0.3439814814814815</v>
      </c>
      <c r="C57" s="1">
        <v>0.20040509259259259</v>
      </c>
      <c r="D57">
        <v>88</v>
      </c>
      <c r="E57" s="4">
        <v>0.71419999999999995</v>
      </c>
      <c r="F57" s="4">
        <v>0.5585</v>
      </c>
      <c r="G57" s="4">
        <v>0.57420000000000004</v>
      </c>
      <c r="H57" s="4">
        <v>1.1999999999999999E-3</v>
      </c>
      <c r="I57" s="4">
        <v>0.21959999999999999</v>
      </c>
      <c r="J57" s="4">
        <v>2.0500000000000001E-2</v>
      </c>
      <c r="K57" s="4">
        <v>0</v>
      </c>
      <c r="L57" s="4">
        <v>0.14599999999999999</v>
      </c>
      <c r="M57" s="4">
        <v>3.8999999999999998E-3</v>
      </c>
      <c r="N57">
        <v>1</v>
      </c>
      <c r="O57">
        <v>3</v>
      </c>
    </row>
    <row r="58" spans="1:15" x14ac:dyDescent="0.3">
      <c r="A58" t="s">
        <v>79</v>
      </c>
      <c r="B58" s="1">
        <v>0.33871527777777777</v>
      </c>
      <c r="C58" s="1">
        <v>0.18900462962962963</v>
      </c>
      <c r="D58">
        <v>77</v>
      </c>
      <c r="E58" s="4">
        <v>0.69350000000000001</v>
      </c>
      <c r="F58" s="4">
        <v>0.53120000000000001</v>
      </c>
      <c r="G58" s="4">
        <v>0.54679999999999995</v>
      </c>
      <c r="H58" s="4">
        <v>2.3999999999999998E-3</v>
      </c>
      <c r="I58" s="4">
        <v>0.2492</v>
      </c>
      <c r="J58" s="4">
        <v>1.8100000000000002E-2</v>
      </c>
      <c r="K58" s="4">
        <v>0</v>
      </c>
      <c r="L58" s="4">
        <v>0.16200000000000001</v>
      </c>
      <c r="M58" s="4">
        <v>4.8999999999999998E-3</v>
      </c>
      <c r="N58">
        <v>2</v>
      </c>
      <c r="O58">
        <v>2</v>
      </c>
    </row>
    <row r="59" spans="1:15" x14ac:dyDescent="0.3">
      <c r="A59" t="s">
        <v>80</v>
      </c>
      <c r="B59" s="1">
        <v>0.34687499999999999</v>
      </c>
      <c r="C59" s="1">
        <v>0.20966435185185187</v>
      </c>
      <c r="D59">
        <v>102</v>
      </c>
      <c r="E59" s="4">
        <v>0.73850000000000005</v>
      </c>
      <c r="F59" s="4">
        <v>0.58699999999999997</v>
      </c>
      <c r="G59" s="4">
        <v>0.60350000000000004</v>
      </c>
      <c r="H59" s="4">
        <v>8.0000000000000004E-4</v>
      </c>
      <c r="I59" s="4">
        <v>0.19350000000000001</v>
      </c>
      <c r="J59" s="4">
        <v>2.41E-2</v>
      </c>
      <c r="K59" s="4">
        <v>0</v>
      </c>
      <c r="L59" s="4">
        <v>0.13719999999999999</v>
      </c>
      <c r="M59" s="4">
        <v>3.5000000000000001E-3</v>
      </c>
      <c r="N59">
        <v>1</v>
      </c>
      <c r="O59">
        <v>5</v>
      </c>
    </row>
    <row r="60" spans="1:15" x14ac:dyDescent="0.3">
      <c r="A60" t="s">
        <v>81</v>
      </c>
      <c r="B60" s="1">
        <v>0.34045138888888887</v>
      </c>
      <c r="C60" s="1">
        <v>0.19403935185185187</v>
      </c>
      <c r="D60">
        <v>82</v>
      </c>
      <c r="E60" s="4">
        <v>0.70050000000000001</v>
      </c>
      <c r="F60" s="4">
        <v>0.54259999999999997</v>
      </c>
      <c r="G60" s="4">
        <v>0.55820000000000003</v>
      </c>
      <c r="H60" s="4">
        <v>1.8E-3</v>
      </c>
      <c r="I60" s="4">
        <v>0.2351</v>
      </c>
      <c r="J60" s="4">
        <v>1.8800000000000001E-2</v>
      </c>
      <c r="K60" s="4">
        <v>0</v>
      </c>
      <c r="L60" s="4">
        <v>0.15709999999999999</v>
      </c>
      <c r="M60" s="4">
        <v>4.4000000000000003E-3</v>
      </c>
      <c r="N60">
        <v>2</v>
      </c>
      <c r="O60">
        <v>2</v>
      </c>
    </row>
    <row r="61" spans="1:15" x14ac:dyDescent="0.3">
      <c r="A61" t="s">
        <v>82</v>
      </c>
      <c r="B61" s="1">
        <v>0.34843750000000001</v>
      </c>
      <c r="C61" s="1">
        <v>0.21203703703703702</v>
      </c>
      <c r="D61">
        <v>109</v>
      </c>
      <c r="E61" s="4">
        <v>0.74480000000000002</v>
      </c>
      <c r="F61" s="4">
        <v>0.59450000000000003</v>
      </c>
      <c r="G61" s="4">
        <v>0.61099999999999999</v>
      </c>
      <c r="H61" s="4">
        <v>5.9999999999999995E-4</v>
      </c>
      <c r="I61" s="4">
        <v>0.18579999999999999</v>
      </c>
      <c r="J61" s="4">
        <v>2.6599999999999999E-2</v>
      </c>
      <c r="K61" s="4">
        <v>0</v>
      </c>
      <c r="L61" s="4">
        <v>0.13220000000000001</v>
      </c>
      <c r="M61" s="4">
        <v>3.2000000000000002E-3</v>
      </c>
      <c r="N61">
        <v>0</v>
      </c>
      <c r="O61">
        <v>6</v>
      </c>
    </row>
    <row r="62" spans="1:15" x14ac:dyDescent="0.3">
      <c r="A62" t="s">
        <v>83</v>
      </c>
      <c r="B62" s="1">
        <v>0.33738425925925924</v>
      </c>
      <c r="C62" s="1">
        <v>0.18657407407407409</v>
      </c>
      <c r="D62">
        <v>73</v>
      </c>
      <c r="E62" s="4">
        <v>0.68579999999999997</v>
      </c>
      <c r="F62" s="4">
        <v>0.52239999999999998</v>
      </c>
      <c r="G62" s="4">
        <v>0.53749999999999998</v>
      </c>
      <c r="H62" s="4">
        <v>2.7000000000000001E-3</v>
      </c>
      <c r="I62" s="4">
        <v>0.25729999999999997</v>
      </c>
      <c r="J62" s="4">
        <v>1.7000000000000001E-2</v>
      </c>
      <c r="K62" s="4">
        <v>0</v>
      </c>
      <c r="L62" s="4">
        <v>0.1711</v>
      </c>
      <c r="M62" s="4">
        <v>5.4000000000000003E-3</v>
      </c>
      <c r="N62">
        <v>3</v>
      </c>
      <c r="O62">
        <v>1</v>
      </c>
    </row>
    <row r="63" spans="1:15" x14ac:dyDescent="0.3">
      <c r="A63" t="s">
        <v>84</v>
      </c>
      <c r="B63" s="1">
        <v>0.34525462962962961</v>
      </c>
      <c r="C63" s="1">
        <v>0.20538194444444444</v>
      </c>
      <c r="D63">
        <v>95</v>
      </c>
      <c r="E63" s="4">
        <v>0.72740000000000005</v>
      </c>
      <c r="F63" s="4">
        <v>0.5776</v>
      </c>
      <c r="G63" s="4">
        <v>0.59340000000000004</v>
      </c>
      <c r="H63" s="4">
        <v>1E-3</v>
      </c>
      <c r="I63" s="4">
        <v>0.20419999999999999</v>
      </c>
      <c r="J63" s="4">
        <v>2.1999999999999999E-2</v>
      </c>
      <c r="K63" s="4">
        <v>0</v>
      </c>
      <c r="L63" s="4">
        <v>0.1424</v>
      </c>
      <c r="M63" s="4">
        <v>3.8E-3</v>
      </c>
      <c r="N63">
        <v>1</v>
      </c>
      <c r="O63">
        <v>4</v>
      </c>
    </row>
    <row r="64" spans="1:15" x14ac:dyDescent="0.3">
      <c r="A64" t="s">
        <v>85</v>
      </c>
      <c r="B64" s="1">
        <v>0.33929398148148149</v>
      </c>
      <c r="C64" s="1">
        <v>0.19050925925925927</v>
      </c>
      <c r="D64">
        <v>78</v>
      </c>
      <c r="E64" s="4">
        <v>0.6966</v>
      </c>
      <c r="F64" s="4">
        <v>0.53459999999999996</v>
      </c>
      <c r="G64" s="4">
        <v>0.55010000000000003</v>
      </c>
      <c r="H64" s="4">
        <v>2.2000000000000001E-3</v>
      </c>
      <c r="I64" s="4">
        <v>0.2477</v>
      </c>
      <c r="J64" s="4">
        <v>1.84E-2</v>
      </c>
      <c r="K64" s="4">
        <v>0</v>
      </c>
      <c r="L64" s="4">
        <v>0.1608</v>
      </c>
      <c r="M64" s="4">
        <v>4.7000000000000002E-3</v>
      </c>
      <c r="N64">
        <v>2</v>
      </c>
      <c r="O64">
        <v>2</v>
      </c>
    </row>
    <row r="65" spans="1:15" x14ac:dyDescent="0.3">
      <c r="A65" t="s">
        <v>86</v>
      </c>
      <c r="B65" s="1">
        <v>0.34785879629629629</v>
      </c>
      <c r="C65" s="1">
        <v>0.21099537037037036</v>
      </c>
      <c r="D65">
        <v>107</v>
      </c>
      <c r="E65" s="4">
        <v>0.74199999999999999</v>
      </c>
      <c r="F65" s="4">
        <v>0.59079999999999999</v>
      </c>
      <c r="G65" s="4">
        <v>0.60750000000000004</v>
      </c>
      <c r="H65" s="4">
        <v>6.9999999999999999E-4</v>
      </c>
      <c r="I65" s="4">
        <v>0.1888</v>
      </c>
      <c r="J65" s="4">
        <v>2.5899999999999999E-2</v>
      </c>
      <c r="K65" s="4">
        <v>0</v>
      </c>
      <c r="L65" s="4">
        <v>0.13339999999999999</v>
      </c>
      <c r="M65" s="4">
        <v>3.3999999999999998E-3</v>
      </c>
      <c r="N65">
        <v>1</v>
      </c>
      <c r="O65">
        <v>5</v>
      </c>
    </row>
    <row r="66" spans="1:15" x14ac:dyDescent="0.3">
      <c r="A66" t="s">
        <v>87</v>
      </c>
      <c r="B66" s="1">
        <v>0.34143518518518517</v>
      </c>
      <c r="C66" s="1">
        <v>0.19600694444444444</v>
      </c>
      <c r="D66">
        <v>83</v>
      </c>
      <c r="E66" s="4">
        <v>0.70540000000000003</v>
      </c>
      <c r="F66" s="4">
        <v>0.54700000000000004</v>
      </c>
      <c r="G66" s="4">
        <v>0.56259999999999999</v>
      </c>
      <c r="H66" s="4">
        <v>1.6000000000000001E-3</v>
      </c>
      <c r="I66" s="4">
        <v>0.2303</v>
      </c>
      <c r="J66" s="4">
        <v>1.9E-2</v>
      </c>
      <c r="K66" s="4">
        <v>0</v>
      </c>
      <c r="L66" s="4">
        <v>0.1547</v>
      </c>
      <c r="M66" s="4">
        <v>4.1999999999999997E-3</v>
      </c>
      <c r="N66">
        <v>2</v>
      </c>
      <c r="O66">
        <v>3</v>
      </c>
    </row>
    <row r="67" spans="1:15" x14ac:dyDescent="0.3">
      <c r="A67" t="s">
        <v>88</v>
      </c>
      <c r="B67" s="1">
        <v>0.34612268518518519</v>
      </c>
      <c r="C67" s="1">
        <v>0.20879629629629629</v>
      </c>
      <c r="D67">
        <v>100</v>
      </c>
      <c r="E67" s="4">
        <v>0.73680000000000001</v>
      </c>
      <c r="F67" s="4">
        <v>0.58550000000000002</v>
      </c>
      <c r="G67" s="4">
        <v>0.60160000000000002</v>
      </c>
      <c r="H67" s="4">
        <v>8.9999999999999998E-4</v>
      </c>
      <c r="I67" s="4">
        <v>0.1948</v>
      </c>
      <c r="J67" s="4">
        <v>2.3400000000000001E-2</v>
      </c>
      <c r="K67" s="4">
        <v>0</v>
      </c>
      <c r="L67" s="4">
        <v>0.1389</v>
      </c>
      <c r="M67" s="4">
        <v>3.5999999999999999E-3</v>
      </c>
      <c r="N67">
        <v>1</v>
      </c>
      <c r="O67">
        <v>4</v>
      </c>
    </row>
    <row r="68" spans="1:15" x14ac:dyDescent="0.3">
      <c r="A68" t="s">
        <v>89</v>
      </c>
      <c r="B68" s="1">
        <v>0.33813657407407405</v>
      </c>
      <c r="C68" s="1">
        <v>0.18859953703703702</v>
      </c>
      <c r="D68">
        <v>75</v>
      </c>
      <c r="E68" s="4">
        <v>0.69020000000000004</v>
      </c>
      <c r="F68" s="4">
        <v>0.52810000000000001</v>
      </c>
      <c r="G68" s="4">
        <v>0.54330000000000001</v>
      </c>
      <c r="H68" s="4">
        <v>2.5000000000000001E-3</v>
      </c>
      <c r="I68" s="4">
        <v>0.25159999999999999</v>
      </c>
      <c r="J68" s="4">
        <v>1.78E-2</v>
      </c>
      <c r="K68" s="4">
        <v>0</v>
      </c>
      <c r="L68" s="4">
        <v>0.16650000000000001</v>
      </c>
      <c r="M68" s="4">
        <v>5.0000000000000001E-3</v>
      </c>
      <c r="N68">
        <v>3</v>
      </c>
      <c r="O68">
        <v>1</v>
      </c>
    </row>
    <row r="69" spans="1:15" x14ac:dyDescent="0.3">
      <c r="A69" t="s">
        <v>90</v>
      </c>
      <c r="B69" s="1">
        <v>0.34664351851851855</v>
      </c>
      <c r="C69" s="1">
        <v>0.20978009259259259</v>
      </c>
      <c r="D69">
        <v>103</v>
      </c>
      <c r="E69" s="4">
        <v>0.73960000000000004</v>
      </c>
      <c r="F69" s="4">
        <v>0.58819999999999995</v>
      </c>
      <c r="G69" s="4">
        <v>0.6048</v>
      </c>
      <c r="H69" s="4">
        <v>8.0000000000000004E-4</v>
      </c>
      <c r="I69" s="4">
        <v>0.1923</v>
      </c>
      <c r="J69" s="4">
        <v>2.4500000000000001E-2</v>
      </c>
      <c r="K69" s="4">
        <v>0</v>
      </c>
      <c r="L69" s="4">
        <v>0.13650000000000001</v>
      </c>
      <c r="M69" s="4">
        <v>3.5000000000000001E-3</v>
      </c>
      <c r="N69">
        <v>1</v>
      </c>
      <c r="O69">
        <v>5</v>
      </c>
    </row>
    <row r="70" spans="1:15" x14ac:dyDescent="0.3">
      <c r="A70" t="s">
        <v>91</v>
      </c>
      <c r="B70" s="1">
        <v>0.34010416666666665</v>
      </c>
      <c r="C70" s="1">
        <v>0.19293981481481481</v>
      </c>
      <c r="D70">
        <v>80</v>
      </c>
      <c r="E70" s="4">
        <v>0.69979999999999998</v>
      </c>
      <c r="F70" s="4">
        <v>0.54100000000000004</v>
      </c>
      <c r="G70" s="4">
        <v>0.55659999999999998</v>
      </c>
      <c r="H70" s="4">
        <v>1.9E-3</v>
      </c>
      <c r="I70" s="4">
        <v>0.23680000000000001</v>
      </c>
      <c r="J70" s="4">
        <v>1.8599999999999998E-2</v>
      </c>
      <c r="K70" s="4">
        <v>0</v>
      </c>
      <c r="L70" s="4">
        <v>0.15820000000000001</v>
      </c>
      <c r="M70" s="4">
        <v>4.4999999999999997E-3</v>
      </c>
      <c r="N70">
        <v>2</v>
      </c>
      <c r="O70">
        <v>2</v>
      </c>
    </row>
    <row r="71" spans="1:15" x14ac:dyDescent="0.3">
      <c r="A71" t="s">
        <v>92</v>
      </c>
      <c r="B71" s="1">
        <v>0.34866898148148145</v>
      </c>
      <c r="C71" s="1">
        <v>0.21302083333333333</v>
      </c>
      <c r="D71">
        <v>110</v>
      </c>
      <c r="E71" s="4">
        <v>0.74619999999999997</v>
      </c>
      <c r="F71" s="4">
        <v>0.59630000000000005</v>
      </c>
      <c r="G71" s="4">
        <v>0.61280000000000001</v>
      </c>
      <c r="H71" s="4">
        <v>5.0000000000000001E-4</v>
      </c>
      <c r="I71" s="4">
        <v>0.1847</v>
      </c>
      <c r="J71" s="4">
        <v>2.6800000000000001E-2</v>
      </c>
      <c r="K71" s="4">
        <v>0</v>
      </c>
      <c r="L71" s="4">
        <v>0.1308</v>
      </c>
      <c r="M71" s="4">
        <v>3.0999999999999999E-3</v>
      </c>
      <c r="N71">
        <v>0</v>
      </c>
      <c r="O71">
        <v>6</v>
      </c>
    </row>
    <row r="72" spans="1:15" x14ac:dyDescent="0.3">
      <c r="A72" t="s">
        <v>93</v>
      </c>
      <c r="B72" s="1">
        <v>0.33842592592592591</v>
      </c>
      <c r="C72" s="1">
        <v>0.18709490740740742</v>
      </c>
      <c r="D72">
        <v>74</v>
      </c>
      <c r="E72" s="4">
        <v>0.68740000000000001</v>
      </c>
      <c r="F72" s="4">
        <v>0.52390000000000003</v>
      </c>
      <c r="G72" s="4">
        <v>0.53920000000000001</v>
      </c>
      <c r="H72" s="4">
        <v>2.5999999999999999E-3</v>
      </c>
      <c r="I72" s="4">
        <v>0.25480000000000003</v>
      </c>
      <c r="J72" s="4">
        <v>1.7299999999999999E-2</v>
      </c>
      <c r="K72" s="4">
        <v>0</v>
      </c>
      <c r="L72" s="4">
        <v>0.1696</v>
      </c>
      <c r="M72" s="4">
        <v>5.3E-3</v>
      </c>
      <c r="N72">
        <v>3</v>
      </c>
      <c r="O72">
        <v>1</v>
      </c>
    </row>
    <row r="73" spans="1:15" x14ac:dyDescent="0.3">
      <c r="A73" t="s">
        <v>94</v>
      </c>
      <c r="B73" s="1">
        <v>0.3449652777777778</v>
      </c>
      <c r="C73" s="1">
        <v>0.20428240740740741</v>
      </c>
      <c r="D73">
        <v>94</v>
      </c>
      <c r="E73" s="4">
        <v>0.72560000000000002</v>
      </c>
      <c r="F73" s="4">
        <v>0.57609999999999995</v>
      </c>
      <c r="G73" s="4">
        <v>0.59179999999999999</v>
      </c>
      <c r="H73" s="4">
        <v>1.1000000000000001E-3</v>
      </c>
      <c r="I73" s="4">
        <v>0.20610000000000001</v>
      </c>
      <c r="J73" s="4">
        <v>2.1700000000000001E-2</v>
      </c>
      <c r="K73" s="4">
        <v>0</v>
      </c>
      <c r="L73" s="4">
        <v>0.14369999999999999</v>
      </c>
      <c r="M73" s="4">
        <v>3.8999999999999998E-3</v>
      </c>
      <c r="N73">
        <v>1</v>
      </c>
      <c r="O73">
        <v>4</v>
      </c>
    </row>
    <row r="74" spans="1:15" x14ac:dyDescent="0.3">
      <c r="A74" t="s">
        <v>95</v>
      </c>
      <c r="B74" s="1">
        <v>0.33900462962962963</v>
      </c>
      <c r="C74" s="1">
        <v>0.19010416666666666</v>
      </c>
      <c r="D74">
        <v>77</v>
      </c>
      <c r="E74" s="4">
        <v>0.69479999999999997</v>
      </c>
      <c r="F74" s="4">
        <v>0.53269999999999995</v>
      </c>
      <c r="G74" s="4">
        <v>0.54820000000000002</v>
      </c>
      <c r="H74" s="4">
        <v>2.3E-3</v>
      </c>
      <c r="I74" s="4">
        <v>0.24829999999999999</v>
      </c>
      <c r="J74" s="4">
        <v>1.8200000000000001E-2</v>
      </c>
      <c r="K74" s="4">
        <v>0</v>
      </c>
      <c r="L74" s="4">
        <v>0.1618</v>
      </c>
      <c r="M74" s="4">
        <v>4.7999999999999996E-3</v>
      </c>
      <c r="N74">
        <v>2</v>
      </c>
      <c r="O74">
        <v>2</v>
      </c>
    </row>
    <row r="75" spans="1:15" x14ac:dyDescent="0.3">
      <c r="A75" t="s">
        <v>96</v>
      </c>
      <c r="B75" s="1">
        <v>0.34762731481481479</v>
      </c>
      <c r="C75" s="1">
        <v>0.21128472222222222</v>
      </c>
      <c r="D75">
        <v>108</v>
      </c>
      <c r="E75" s="4">
        <v>0.74270000000000003</v>
      </c>
      <c r="F75" s="4">
        <v>0.5917</v>
      </c>
      <c r="G75" s="4">
        <v>0.60840000000000005</v>
      </c>
      <c r="H75" s="4">
        <v>6.9999999999999999E-4</v>
      </c>
      <c r="I75" s="4">
        <v>0.18820000000000001</v>
      </c>
      <c r="J75" s="4">
        <v>2.5999999999999999E-2</v>
      </c>
      <c r="K75" s="4">
        <v>0</v>
      </c>
      <c r="L75" s="4">
        <v>0.1331</v>
      </c>
      <c r="M75" s="4">
        <v>3.3E-3</v>
      </c>
      <c r="N75">
        <v>1</v>
      </c>
      <c r="O75">
        <v>5</v>
      </c>
    </row>
    <row r="76" spans="1:15" x14ac:dyDescent="0.3">
      <c r="A76" t="s">
        <v>97</v>
      </c>
      <c r="B76" s="1">
        <v>0.34160879629629631</v>
      </c>
      <c r="C76" s="1">
        <v>0.19681712962962963</v>
      </c>
      <c r="D76">
        <v>84</v>
      </c>
      <c r="E76" s="4">
        <v>0.70720000000000005</v>
      </c>
      <c r="F76" s="4">
        <v>0.54910000000000003</v>
      </c>
      <c r="G76" s="4">
        <v>0.56489999999999996</v>
      </c>
      <c r="H76" s="4">
        <v>1.5E-3</v>
      </c>
      <c r="I76" s="4">
        <v>0.2281</v>
      </c>
      <c r="J76" s="4">
        <v>1.9199999999999998E-2</v>
      </c>
      <c r="K76" s="4">
        <v>0</v>
      </c>
      <c r="L76" s="4">
        <v>0.15329999999999999</v>
      </c>
      <c r="M76" s="4">
        <v>4.1000000000000003E-3</v>
      </c>
      <c r="N76">
        <v>2</v>
      </c>
      <c r="O76">
        <v>3</v>
      </c>
    </row>
    <row r="77" spans="1:15" x14ac:dyDescent="0.3">
      <c r="A77" t="s">
        <v>98</v>
      </c>
      <c r="B77" s="1">
        <v>0.34606481481481483</v>
      </c>
      <c r="C77" s="1">
        <v>0.20804398148148148</v>
      </c>
      <c r="D77">
        <v>99</v>
      </c>
      <c r="E77" s="4">
        <v>0.73409999999999997</v>
      </c>
      <c r="F77" s="4">
        <v>0.58199999999999996</v>
      </c>
      <c r="G77" s="4">
        <v>0.59840000000000004</v>
      </c>
      <c r="H77" s="4">
        <v>8.9999999999999998E-4</v>
      </c>
      <c r="I77" s="4">
        <v>0.1986</v>
      </c>
      <c r="J77" s="4">
        <v>2.29E-2</v>
      </c>
      <c r="K77" s="4">
        <v>0</v>
      </c>
      <c r="L77" s="4">
        <v>0.1411</v>
      </c>
      <c r="M77" s="4">
        <v>3.7000000000000002E-3</v>
      </c>
      <c r="N77">
        <v>1</v>
      </c>
      <c r="O77">
        <v>4</v>
      </c>
    </row>
    <row r="78" spans="1:15" x14ac:dyDescent="0.3">
      <c r="A78" t="s">
        <v>99</v>
      </c>
      <c r="B78" s="1">
        <v>0.33877314814814813</v>
      </c>
      <c r="C78" s="1">
        <v>0.18883101851851852</v>
      </c>
      <c r="D78">
        <v>76</v>
      </c>
      <c r="E78" s="4">
        <v>0.69140000000000001</v>
      </c>
      <c r="F78" s="4">
        <v>0.52949999999999997</v>
      </c>
      <c r="G78" s="4">
        <v>0.54490000000000005</v>
      </c>
      <c r="H78" s="4">
        <v>2.3999999999999998E-3</v>
      </c>
      <c r="I78" s="4">
        <v>0.25019999999999998</v>
      </c>
      <c r="J78" s="4">
        <v>1.7899999999999999E-2</v>
      </c>
      <c r="K78" s="4">
        <v>0</v>
      </c>
      <c r="L78" s="4">
        <v>0.16370000000000001</v>
      </c>
      <c r="M78" s="4">
        <v>4.8999999999999998E-3</v>
      </c>
      <c r="N78">
        <v>2</v>
      </c>
      <c r="O78">
        <v>2</v>
      </c>
    </row>
    <row r="79" spans="1:15" x14ac:dyDescent="0.3">
      <c r="A79" t="s">
        <v>100</v>
      </c>
      <c r="B79" s="1">
        <v>0.34733796296296299</v>
      </c>
      <c r="C79" s="1">
        <v>0.21070601851851853</v>
      </c>
      <c r="D79">
        <v>106</v>
      </c>
      <c r="E79" s="4">
        <v>0.74109999999999998</v>
      </c>
      <c r="F79" s="4">
        <v>0.59009999999999996</v>
      </c>
      <c r="G79" s="4">
        <v>0.60680000000000001</v>
      </c>
      <c r="H79" s="4">
        <v>6.9999999999999999E-4</v>
      </c>
      <c r="I79" s="4">
        <v>0.19009999999999999</v>
      </c>
      <c r="J79" s="4">
        <v>2.5399999999999999E-2</v>
      </c>
      <c r="K79" s="4">
        <v>0</v>
      </c>
      <c r="L79" s="4">
        <v>0.13519999999999999</v>
      </c>
      <c r="M79" s="4">
        <v>3.3999999999999998E-3</v>
      </c>
      <c r="N79">
        <v>1</v>
      </c>
      <c r="O79">
        <v>5</v>
      </c>
    </row>
    <row r="80" spans="1:15" x14ac:dyDescent="0.3">
      <c r="A80" t="s">
        <v>101</v>
      </c>
      <c r="B80" s="1">
        <v>0.34062500000000001</v>
      </c>
      <c r="C80" s="1">
        <v>0.19386574074074073</v>
      </c>
      <c r="D80">
        <v>81</v>
      </c>
      <c r="E80" s="4">
        <v>0.70220000000000005</v>
      </c>
      <c r="F80" s="4">
        <v>0.54290000000000005</v>
      </c>
      <c r="G80" s="4">
        <v>0.55859999999999999</v>
      </c>
      <c r="H80" s="4">
        <v>1.8E-3</v>
      </c>
      <c r="I80" s="4">
        <v>0.23419999999999999</v>
      </c>
      <c r="J80" s="4">
        <v>1.8700000000000001E-2</v>
      </c>
      <c r="K80" s="4">
        <v>0</v>
      </c>
      <c r="L80" s="4">
        <v>0.156</v>
      </c>
      <c r="M80" s="4">
        <v>4.4000000000000003E-3</v>
      </c>
      <c r="N80">
        <v>2</v>
      </c>
      <c r="O80">
        <v>2</v>
      </c>
    </row>
    <row r="81" spans="1:15" x14ac:dyDescent="0.3">
      <c r="A81" t="s">
        <v>102</v>
      </c>
      <c r="B81" s="1">
        <v>0.34855324074074073</v>
      </c>
      <c r="C81" s="1">
        <v>0.21238425925925927</v>
      </c>
      <c r="D81">
        <v>109</v>
      </c>
      <c r="E81" s="4">
        <v>0.74529999999999996</v>
      </c>
      <c r="F81" s="4">
        <v>0.59519999999999995</v>
      </c>
      <c r="G81" s="4">
        <v>0.61180000000000001</v>
      </c>
      <c r="H81" s="4">
        <v>5.9999999999999995E-4</v>
      </c>
      <c r="I81" s="4">
        <v>0.18540000000000001</v>
      </c>
      <c r="J81" s="4">
        <v>2.6700000000000002E-2</v>
      </c>
      <c r="K81" s="4">
        <v>0</v>
      </c>
      <c r="L81" s="4">
        <v>0.13189999999999999</v>
      </c>
      <c r="M81" s="4">
        <v>3.2000000000000002E-3</v>
      </c>
      <c r="N81">
        <v>0</v>
      </c>
      <c r="O81">
        <v>6</v>
      </c>
    </row>
    <row r="82" spans="1:15" x14ac:dyDescent="0.3">
      <c r="A82" t="s">
        <v>103</v>
      </c>
      <c r="B82" s="1">
        <v>0.33773148148148147</v>
      </c>
      <c r="C82" s="1">
        <v>0.18628472222222223</v>
      </c>
      <c r="D82">
        <v>73</v>
      </c>
      <c r="E82" s="4">
        <v>0.68520000000000003</v>
      </c>
      <c r="F82" s="4">
        <v>0.52180000000000004</v>
      </c>
      <c r="G82" s="4">
        <v>0.53700000000000003</v>
      </c>
      <c r="H82" s="4">
        <v>2.7000000000000001E-3</v>
      </c>
      <c r="I82" s="4">
        <v>0.25779999999999997</v>
      </c>
      <c r="J82" s="4">
        <v>1.6899999999999998E-2</v>
      </c>
      <c r="K82" s="4">
        <v>0</v>
      </c>
      <c r="L82" s="4">
        <v>0.17080000000000001</v>
      </c>
      <c r="M82" s="4">
        <v>5.4000000000000003E-3</v>
      </c>
      <c r="N82">
        <v>3</v>
      </c>
      <c r="O82">
        <v>1</v>
      </c>
    </row>
    <row r="83" spans="1:15" x14ac:dyDescent="0.3">
      <c r="A83" t="s">
        <v>104</v>
      </c>
      <c r="B83" s="1">
        <v>0.34560185185185183</v>
      </c>
      <c r="C83" s="1">
        <v>0.20561342592592594</v>
      </c>
      <c r="D83">
        <v>96</v>
      </c>
      <c r="E83" s="4">
        <v>0.72870000000000001</v>
      </c>
      <c r="F83" s="4">
        <v>0.57889999999999997</v>
      </c>
      <c r="G83" s="4">
        <v>0.59460000000000002</v>
      </c>
      <c r="H83" s="4">
        <v>1E-3</v>
      </c>
      <c r="I83" s="4">
        <v>0.20330000000000001</v>
      </c>
      <c r="J83" s="4">
        <v>2.2200000000000001E-2</v>
      </c>
      <c r="K83" s="4">
        <v>0</v>
      </c>
      <c r="L83" s="4">
        <v>0.14199999999999999</v>
      </c>
      <c r="M83" s="4">
        <v>3.8E-3</v>
      </c>
      <c r="N83">
        <v>1</v>
      </c>
      <c r="O83">
        <v>4</v>
      </c>
    </row>
    <row r="84" spans="1:15" x14ac:dyDescent="0.3">
      <c r="A84" t="s">
        <v>105</v>
      </c>
      <c r="B84" s="1">
        <v>0.33952546296296299</v>
      </c>
      <c r="C84" s="1">
        <v>0.19074074074074074</v>
      </c>
      <c r="D84">
        <v>78</v>
      </c>
      <c r="E84" s="4">
        <v>0.69610000000000005</v>
      </c>
      <c r="F84" s="4">
        <v>0.53390000000000004</v>
      </c>
      <c r="G84" s="4">
        <v>0.54949999999999999</v>
      </c>
      <c r="H84" s="4">
        <v>2.2000000000000001E-3</v>
      </c>
      <c r="I84" s="4">
        <v>0.24809999999999999</v>
      </c>
      <c r="J84" s="4">
        <v>1.84E-2</v>
      </c>
      <c r="K84" s="4">
        <v>0</v>
      </c>
      <c r="L84" s="4">
        <v>0.16139999999999999</v>
      </c>
      <c r="M84" s="4">
        <v>4.7000000000000002E-3</v>
      </c>
      <c r="N84">
        <v>2</v>
      </c>
      <c r="O84">
        <v>2</v>
      </c>
    </row>
    <row r="85" spans="1:15" x14ac:dyDescent="0.3">
      <c r="A85" t="s">
        <v>106</v>
      </c>
      <c r="B85" s="1">
        <v>0.34774305555555557</v>
      </c>
      <c r="C85" s="1">
        <v>0.21116898148148147</v>
      </c>
      <c r="D85">
        <v>107</v>
      </c>
      <c r="E85" s="4">
        <v>0.74239999999999995</v>
      </c>
      <c r="F85" s="4">
        <v>0.59130000000000005</v>
      </c>
      <c r="G85" s="4">
        <v>0.60809999999999997</v>
      </c>
      <c r="H85" s="4">
        <v>6.9999999999999999E-4</v>
      </c>
      <c r="I85" s="4">
        <v>0.18859999999999999</v>
      </c>
      <c r="J85" s="4">
        <v>2.58E-2</v>
      </c>
      <c r="K85" s="4">
        <v>0</v>
      </c>
      <c r="L85" s="4">
        <v>0.1336</v>
      </c>
      <c r="M85" s="4">
        <v>3.3999999999999998E-3</v>
      </c>
      <c r="N85">
        <v>1</v>
      </c>
      <c r="O85">
        <v>5</v>
      </c>
    </row>
    <row r="86" spans="1:15" x14ac:dyDescent="0.3">
      <c r="A86" t="s">
        <v>107</v>
      </c>
      <c r="B86" s="1">
        <v>0.34126157407407409</v>
      </c>
      <c r="C86" s="1">
        <v>0.19635416666666666</v>
      </c>
      <c r="D86">
        <v>83</v>
      </c>
      <c r="E86" s="4">
        <v>0.70630000000000004</v>
      </c>
      <c r="F86" s="4">
        <v>0.54759999999999998</v>
      </c>
      <c r="G86" s="4">
        <v>0.56330000000000002</v>
      </c>
      <c r="H86" s="4">
        <v>1.6000000000000001E-3</v>
      </c>
      <c r="I86" s="4">
        <v>0.2298</v>
      </c>
      <c r="J86" s="4">
        <v>1.9099999999999999E-2</v>
      </c>
      <c r="K86" s="4">
        <v>0</v>
      </c>
      <c r="L86" s="4">
        <v>0.1542</v>
      </c>
      <c r="M86" s="4">
        <v>4.1999999999999997E-3</v>
      </c>
      <c r="N86">
        <v>2</v>
      </c>
      <c r="O86">
        <v>3</v>
      </c>
    </row>
    <row r="87" spans="1:15" x14ac:dyDescent="0.3">
      <c r="A87" t="s">
        <v>108</v>
      </c>
      <c r="B87" s="1">
        <v>0.34589120370370369</v>
      </c>
      <c r="C87" s="1">
        <v>0.20856481481481481</v>
      </c>
      <c r="D87">
        <v>100</v>
      </c>
      <c r="E87" s="4">
        <v>0.73719999999999997</v>
      </c>
      <c r="F87" s="4">
        <v>0.58609999999999995</v>
      </c>
      <c r="G87" s="4">
        <v>0.60240000000000005</v>
      </c>
      <c r="H87" s="4">
        <v>8.9999999999999998E-4</v>
      </c>
      <c r="I87" s="4">
        <v>0.1943</v>
      </c>
      <c r="J87" s="4">
        <v>2.35E-2</v>
      </c>
      <c r="K87" s="4">
        <v>0</v>
      </c>
      <c r="L87" s="4">
        <v>0.13869999999999999</v>
      </c>
      <c r="M87" s="4">
        <v>3.5999999999999999E-3</v>
      </c>
      <c r="N87">
        <v>1</v>
      </c>
      <c r="O87">
        <v>4</v>
      </c>
    </row>
    <row r="88" spans="1:15" x14ac:dyDescent="0.3">
      <c r="A88" t="s">
        <v>109</v>
      </c>
      <c r="B88" s="1">
        <v>0.33836805555555555</v>
      </c>
      <c r="C88" s="1">
        <v>0.18813657407407408</v>
      </c>
      <c r="D88">
        <v>75</v>
      </c>
      <c r="E88" s="4">
        <v>0.69059999999999999</v>
      </c>
      <c r="F88" s="4">
        <v>0.52839999999999998</v>
      </c>
      <c r="G88" s="4">
        <v>0.54369999999999996</v>
      </c>
      <c r="H88" s="4">
        <v>2.5000000000000001E-3</v>
      </c>
      <c r="I88" s="4">
        <v>0.25109999999999999</v>
      </c>
      <c r="J88" s="4">
        <v>1.77E-2</v>
      </c>
      <c r="K88" s="4">
        <v>0</v>
      </c>
      <c r="L88" s="4">
        <v>0.16600000000000001</v>
      </c>
      <c r="M88" s="4">
        <v>5.0000000000000001E-3</v>
      </c>
      <c r="N88">
        <v>3</v>
      </c>
      <c r="O88">
        <v>1</v>
      </c>
    </row>
    <row r="89" spans="1:15" x14ac:dyDescent="0.3">
      <c r="A89" t="s">
        <v>110</v>
      </c>
      <c r="B89" s="1">
        <v>0.34681712962962963</v>
      </c>
      <c r="C89" s="1">
        <v>0.21012731481481481</v>
      </c>
      <c r="D89">
        <v>103</v>
      </c>
      <c r="E89" s="4">
        <v>0.74</v>
      </c>
      <c r="F89" s="4">
        <v>0.58860000000000001</v>
      </c>
      <c r="G89" s="4">
        <v>0.60529999999999995</v>
      </c>
      <c r="H89" s="4">
        <v>8.0000000000000004E-4</v>
      </c>
      <c r="I89" s="4">
        <v>0.19189999999999999</v>
      </c>
      <c r="J89" s="4">
        <v>2.46E-2</v>
      </c>
      <c r="K89" s="4">
        <v>0</v>
      </c>
      <c r="L89" s="4">
        <v>0.1363</v>
      </c>
      <c r="M89" s="4">
        <v>3.5000000000000001E-3</v>
      </c>
      <c r="N89">
        <v>1</v>
      </c>
      <c r="O89">
        <v>5</v>
      </c>
    </row>
    <row r="90" spans="1:15" x14ac:dyDescent="0.3">
      <c r="A90" t="s">
        <v>111</v>
      </c>
      <c r="B90" s="1">
        <v>0.33998842592592593</v>
      </c>
      <c r="C90" s="1">
        <v>0.1927662037037037</v>
      </c>
      <c r="D90">
        <v>80</v>
      </c>
      <c r="E90" s="4">
        <v>0.69930000000000003</v>
      </c>
      <c r="F90" s="4">
        <v>0.54059999999999997</v>
      </c>
      <c r="G90" s="4">
        <v>0.55610000000000004</v>
      </c>
      <c r="H90" s="4">
        <v>1.9E-3</v>
      </c>
      <c r="I90" s="4">
        <v>0.23719999999999999</v>
      </c>
      <c r="J90" s="4">
        <v>1.8499999999999999E-2</v>
      </c>
      <c r="K90" s="4">
        <v>0</v>
      </c>
      <c r="L90" s="4">
        <v>0.15859999999999999</v>
      </c>
      <c r="M90" s="4">
        <v>4.4999999999999997E-3</v>
      </c>
      <c r="N90">
        <v>2</v>
      </c>
      <c r="O90">
        <v>2</v>
      </c>
    </row>
    <row r="91" spans="1:15" x14ac:dyDescent="0.3">
      <c r="A91" t="s">
        <v>112</v>
      </c>
      <c r="B91" s="1">
        <v>0.34878472222222223</v>
      </c>
      <c r="C91" s="1">
        <v>0.21336805555555555</v>
      </c>
      <c r="D91">
        <v>111</v>
      </c>
      <c r="E91" s="4">
        <v>0.74750000000000005</v>
      </c>
      <c r="F91" s="4">
        <v>0.59750000000000003</v>
      </c>
      <c r="G91" s="4">
        <v>0.61429999999999996</v>
      </c>
      <c r="H91" s="4">
        <v>5.0000000000000001E-4</v>
      </c>
      <c r="I91" s="4">
        <v>0.18390000000000001</v>
      </c>
      <c r="J91" s="4">
        <v>2.7E-2</v>
      </c>
      <c r="K91" s="4">
        <v>0</v>
      </c>
      <c r="L91" s="4">
        <v>0.13020000000000001</v>
      </c>
      <c r="M91" s="4">
        <v>3.0999999999999999E-3</v>
      </c>
      <c r="N91">
        <v>0</v>
      </c>
      <c r="O91">
        <v>6</v>
      </c>
    </row>
    <row r="92" spans="1:15" x14ac:dyDescent="0.3">
      <c r="A92" t="s">
        <v>113</v>
      </c>
      <c r="B92" s="1">
        <v>0.33807870370370369</v>
      </c>
      <c r="C92" s="1">
        <v>0.18686342592592592</v>
      </c>
      <c r="D92">
        <v>74</v>
      </c>
      <c r="E92" s="4">
        <v>0.68689999999999996</v>
      </c>
      <c r="F92" s="4">
        <v>0.52339999999999998</v>
      </c>
      <c r="G92" s="4">
        <v>0.53859999999999997</v>
      </c>
      <c r="H92" s="4">
        <v>2.5999999999999999E-3</v>
      </c>
      <c r="I92" s="4">
        <v>0.25530000000000003</v>
      </c>
      <c r="J92" s="4">
        <v>1.72E-2</v>
      </c>
      <c r="K92" s="4">
        <v>0</v>
      </c>
      <c r="L92" s="4">
        <v>0.1691</v>
      </c>
      <c r="M92" s="4">
        <v>5.3E-3</v>
      </c>
      <c r="N92">
        <v>3</v>
      </c>
      <c r="O92">
        <v>1</v>
      </c>
    </row>
    <row r="93" spans="1:15" x14ac:dyDescent="0.3">
      <c r="A93" t="s">
        <v>114</v>
      </c>
      <c r="B93" s="1">
        <v>0.34484953703703702</v>
      </c>
      <c r="C93" s="1">
        <v>0.20405092592592591</v>
      </c>
      <c r="D93">
        <v>94</v>
      </c>
      <c r="E93" s="4">
        <v>0.72489999999999999</v>
      </c>
      <c r="F93" s="4">
        <v>0.57550000000000001</v>
      </c>
      <c r="G93" s="4">
        <v>0.59119999999999995</v>
      </c>
      <c r="H93" s="4">
        <v>1.1000000000000001E-3</v>
      </c>
      <c r="I93" s="4">
        <v>0.20669999999999999</v>
      </c>
      <c r="J93" s="4">
        <v>2.1600000000000001E-2</v>
      </c>
      <c r="K93" s="4">
        <v>0</v>
      </c>
      <c r="L93" s="4">
        <v>0.14410000000000001</v>
      </c>
      <c r="M93" s="4">
        <v>3.8999999999999998E-3</v>
      </c>
      <c r="N93">
        <v>1</v>
      </c>
      <c r="O93">
        <v>4</v>
      </c>
    </row>
    <row r="94" spans="1:15" x14ac:dyDescent="0.3">
      <c r="A94" t="s">
        <v>115</v>
      </c>
      <c r="B94" s="1">
        <v>0.33917824074074077</v>
      </c>
      <c r="C94" s="1">
        <v>0.18987268518518519</v>
      </c>
      <c r="D94">
        <v>77</v>
      </c>
      <c r="E94" s="4">
        <v>0.69420000000000004</v>
      </c>
      <c r="F94" s="4">
        <v>0.53210000000000002</v>
      </c>
      <c r="G94" s="4">
        <v>0.54759999999999998</v>
      </c>
      <c r="H94" s="4">
        <v>2.3E-3</v>
      </c>
      <c r="I94" s="4">
        <v>0.24890000000000001</v>
      </c>
      <c r="J94" s="4">
        <v>1.8100000000000002E-2</v>
      </c>
      <c r="K94" s="4">
        <v>0</v>
      </c>
      <c r="L94" s="4">
        <v>0.16220000000000001</v>
      </c>
      <c r="M94" s="4">
        <v>4.7999999999999996E-3</v>
      </c>
      <c r="N94">
        <v>2</v>
      </c>
      <c r="O94">
        <v>2</v>
      </c>
    </row>
    <row r="95" spans="1:15" x14ac:dyDescent="0.3">
      <c r="A95" t="s">
        <v>116</v>
      </c>
      <c r="B95" s="1">
        <v>0.34751157407407407</v>
      </c>
      <c r="C95" s="1">
        <v>0.21105324074074075</v>
      </c>
      <c r="D95">
        <v>107</v>
      </c>
      <c r="E95" s="4">
        <v>0.74219999999999997</v>
      </c>
      <c r="F95" s="4">
        <v>0.59099999999999997</v>
      </c>
      <c r="G95" s="4">
        <v>0.60780000000000001</v>
      </c>
      <c r="H95" s="4">
        <v>6.9999999999999999E-4</v>
      </c>
      <c r="I95" s="4">
        <v>0.189</v>
      </c>
      <c r="J95" s="4">
        <v>2.5899999999999999E-2</v>
      </c>
      <c r="K95" s="4">
        <v>0</v>
      </c>
      <c r="L95" s="4">
        <v>0.1333</v>
      </c>
      <c r="M95" s="4">
        <v>3.3999999999999998E-3</v>
      </c>
      <c r="N95">
        <v>1</v>
      </c>
      <c r="O95">
        <v>5</v>
      </c>
    </row>
    <row r="96" spans="1:15" x14ac:dyDescent="0.3">
      <c r="A96" t="s">
        <v>117</v>
      </c>
      <c r="B96" s="1">
        <v>0.34149305555555554</v>
      </c>
      <c r="C96" s="1">
        <v>0.19658564814814813</v>
      </c>
      <c r="D96">
        <v>84</v>
      </c>
      <c r="E96" s="4">
        <v>0.70679999999999998</v>
      </c>
      <c r="F96" s="4">
        <v>0.54869999999999997</v>
      </c>
      <c r="G96" s="4">
        <v>0.56440000000000001</v>
      </c>
      <c r="H96" s="4">
        <v>1.5E-3</v>
      </c>
      <c r="I96" s="4">
        <v>0.22850000000000001</v>
      </c>
      <c r="J96" s="4">
        <v>1.9199999999999998E-2</v>
      </c>
      <c r="K96" s="4">
        <v>0</v>
      </c>
      <c r="L96" s="4">
        <v>0.1537</v>
      </c>
      <c r="M96" s="4">
        <v>4.1000000000000003E-3</v>
      </c>
      <c r="N96">
        <v>2</v>
      </c>
      <c r="O96">
        <v>3</v>
      </c>
    </row>
    <row r="97" spans="1:15" x14ac:dyDescent="0.3">
      <c r="A97" t="s">
        <v>118</v>
      </c>
      <c r="B97" s="1">
        <v>0.34629629629629627</v>
      </c>
      <c r="C97" s="1">
        <v>0.2083912037037037</v>
      </c>
      <c r="D97">
        <v>100</v>
      </c>
      <c r="E97" s="4">
        <v>0.73780000000000001</v>
      </c>
      <c r="F97" s="4">
        <v>0.58679999999999999</v>
      </c>
      <c r="G97" s="4">
        <v>0.60309999999999997</v>
      </c>
      <c r="H97" s="4">
        <v>8.0000000000000004E-4</v>
      </c>
      <c r="I97" s="4">
        <v>0.1938</v>
      </c>
      <c r="J97" s="4">
        <v>2.3699999999999999E-2</v>
      </c>
      <c r="K97" s="4">
        <v>0</v>
      </c>
      <c r="L97" s="4">
        <v>0.1384</v>
      </c>
      <c r="M97" s="4">
        <v>3.5999999999999999E-3</v>
      </c>
      <c r="N97">
        <v>1</v>
      </c>
      <c r="O97">
        <v>4</v>
      </c>
    </row>
    <row r="98" spans="1:15" x14ac:dyDescent="0.3">
      <c r="A98" t="s">
        <v>119</v>
      </c>
      <c r="B98" s="1">
        <v>0.33859953703703705</v>
      </c>
      <c r="C98" s="1">
        <v>0.18836805555555555</v>
      </c>
      <c r="D98">
        <v>76</v>
      </c>
      <c r="E98" s="4">
        <v>0.69110000000000005</v>
      </c>
      <c r="F98" s="4">
        <v>0.5292</v>
      </c>
      <c r="G98" s="4">
        <v>0.54449999999999998</v>
      </c>
      <c r="H98" s="4">
        <v>2.3999999999999998E-3</v>
      </c>
      <c r="I98" s="4">
        <v>0.25059999999999999</v>
      </c>
      <c r="J98" s="4">
        <v>1.78E-2</v>
      </c>
      <c r="K98" s="4">
        <v>0</v>
      </c>
      <c r="L98" s="4">
        <v>0.16350000000000001</v>
      </c>
      <c r="M98" s="4">
        <v>4.8999999999999998E-3</v>
      </c>
      <c r="N98">
        <v>2</v>
      </c>
      <c r="O98">
        <v>2</v>
      </c>
    </row>
    <row r="99" spans="1:15" x14ac:dyDescent="0.3">
      <c r="A99" t="s">
        <v>120</v>
      </c>
      <c r="B99" s="1">
        <v>0.34716435185185185</v>
      </c>
      <c r="C99" s="1">
        <v>0.21053240740740742</v>
      </c>
      <c r="D99">
        <v>105</v>
      </c>
      <c r="E99" s="4">
        <v>0.74080000000000001</v>
      </c>
      <c r="F99" s="4">
        <v>0.58979999999999999</v>
      </c>
      <c r="G99" s="4">
        <v>0.60650000000000004</v>
      </c>
      <c r="H99" s="4">
        <v>6.9999999999999999E-4</v>
      </c>
      <c r="I99" s="4">
        <v>0.1905</v>
      </c>
      <c r="J99" s="4">
        <v>2.53E-2</v>
      </c>
      <c r="K99" s="4">
        <v>0</v>
      </c>
      <c r="L99" s="4">
        <v>0.13489999999999999</v>
      </c>
      <c r="M99" s="4">
        <v>3.3999999999999998E-3</v>
      </c>
      <c r="N99">
        <v>1</v>
      </c>
      <c r="O99">
        <v>5</v>
      </c>
    </row>
    <row r="100" spans="1:15" x14ac:dyDescent="0.3">
      <c r="A100" t="s">
        <v>121</v>
      </c>
      <c r="B100" s="1">
        <v>0.34050925925925923</v>
      </c>
      <c r="C100" s="1">
        <v>0.19363425925925926</v>
      </c>
      <c r="D100">
        <v>81</v>
      </c>
      <c r="E100" s="4">
        <v>0.70179999999999998</v>
      </c>
      <c r="F100" s="4">
        <v>0.54239999999999999</v>
      </c>
      <c r="G100" s="4">
        <v>0.55800000000000005</v>
      </c>
      <c r="H100" s="4">
        <v>1.8E-3</v>
      </c>
      <c r="I100" s="4">
        <v>0.23469999999999999</v>
      </c>
      <c r="J100" s="4">
        <v>1.8599999999999998E-2</v>
      </c>
      <c r="K100" s="4">
        <v>0</v>
      </c>
      <c r="L100" s="4">
        <v>0.1565</v>
      </c>
      <c r="M100" s="4">
        <v>4.4000000000000003E-3</v>
      </c>
      <c r="N100">
        <v>2</v>
      </c>
      <c r="O100">
        <v>2</v>
      </c>
    </row>
    <row r="101" spans="1:15" x14ac:dyDescent="0.3">
      <c r="A101" t="s">
        <v>122</v>
      </c>
      <c r="B101" s="1">
        <v>0.34832175925925923</v>
      </c>
      <c r="C101" s="1">
        <v>0.21221064814814813</v>
      </c>
      <c r="D101">
        <v>109</v>
      </c>
      <c r="E101" s="4">
        <v>0.74490000000000001</v>
      </c>
      <c r="F101" s="4">
        <v>0.59470000000000001</v>
      </c>
      <c r="G101" s="4">
        <v>0.61129999999999995</v>
      </c>
      <c r="H101" s="4">
        <v>5.9999999999999995E-4</v>
      </c>
      <c r="I101" s="4">
        <v>0.1857</v>
      </c>
      <c r="J101" s="4">
        <v>2.6599999999999999E-2</v>
      </c>
      <c r="K101" s="4">
        <v>0</v>
      </c>
      <c r="L101" s="4">
        <v>0.1323</v>
      </c>
      <c r="M101" s="4">
        <v>3.2000000000000002E-3</v>
      </c>
      <c r="N101">
        <v>0</v>
      </c>
      <c r="O101">
        <v>6</v>
      </c>
    </row>
    <row r="102" spans="1:15" x14ac:dyDescent="0.3">
      <c r="A102" t="s">
        <v>123</v>
      </c>
      <c r="B102" s="1">
        <v>0.33761574074074074</v>
      </c>
      <c r="C102" s="1">
        <v>0.18611111111111112</v>
      </c>
      <c r="D102">
        <v>73</v>
      </c>
      <c r="E102" s="4">
        <v>0.68469999999999998</v>
      </c>
      <c r="F102" s="4">
        <v>0.52139999999999997</v>
      </c>
      <c r="G102" s="4">
        <v>0.53649999999999998</v>
      </c>
      <c r="H102" s="4">
        <v>2.7000000000000001E-3</v>
      </c>
      <c r="I102" s="4">
        <v>0.25819999999999999</v>
      </c>
      <c r="J102" s="4">
        <v>1.6799999999999999E-2</v>
      </c>
      <c r="K102" s="4">
        <v>0</v>
      </c>
      <c r="L102" s="4">
        <v>0.17119999999999999</v>
      </c>
      <c r="M102" s="4">
        <v>5.4000000000000003E-3</v>
      </c>
      <c r="N102">
        <v>3</v>
      </c>
      <c r="O102">
        <v>1</v>
      </c>
    </row>
    <row r="103" spans="1:15" x14ac:dyDescent="0.3">
      <c r="A103" t="s">
        <v>124</v>
      </c>
      <c r="B103" s="1">
        <v>0.34542824074074074</v>
      </c>
      <c r="C103" s="1">
        <v>0.20543981481481483</v>
      </c>
      <c r="D103">
        <v>95</v>
      </c>
      <c r="E103" s="4">
        <v>0.72809999999999997</v>
      </c>
      <c r="F103" s="4">
        <v>0.57820000000000005</v>
      </c>
      <c r="G103" s="4">
        <v>0.59389999999999998</v>
      </c>
      <c r="H103" s="4">
        <v>1E-3</v>
      </c>
      <c r="I103" s="4">
        <v>0.20380000000000001</v>
      </c>
      <c r="J103" s="4">
        <v>2.2100000000000002E-2</v>
      </c>
      <c r="K103" s="4">
        <v>0</v>
      </c>
      <c r="L103" s="4">
        <v>0.14230000000000001</v>
      </c>
      <c r="M103" s="4">
        <v>3.8E-3</v>
      </c>
      <c r="N103">
        <v>1</v>
      </c>
      <c r="O103">
        <v>4</v>
      </c>
    </row>
    <row r="104" spans="1:15" x14ac:dyDescent="0.3">
      <c r="A104" t="s">
        <v>125</v>
      </c>
      <c r="B104" s="1">
        <v>0.33940972222222221</v>
      </c>
      <c r="C104" s="1">
        <v>0.19039351851851852</v>
      </c>
      <c r="D104">
        <v>78</v>
      </c>
      <c r="E104" s="4">
        <v>0.69579999999999997</v>
      </c>
      <c r="F104" s="4">
        <v>0.53349999999999997</v>
      </c>
      <c r="G104" s="4">
        <v>0.54900000000000004</v>
      </c>
      <c r="H104" s="4">
        <v>2.2000000000000001E-3</v>
      </c>
      <c r="I104" s="4">
        <v>0.24840000000000001</v>
      </c>
      <c r="J104" s="4">
        <v>1.83E-2</v>
      </c>
      <c r="K104" s="4">
        <v>0</v>
      </c>
      <c r="L104" s="4">
        <v>0.1618</v>
      </c>
      <c r="M104" s="4">
        <v>4.7000000000000002E-3</v>
      </c>
      <c r="N104">
        <v>2</v>
      </c>
      <c r="O104">
        <v>2</v>
      </c>
    </row>
    <row r="105" spans="1:15" x14ac:dyDescent="0.3">
      <c r="A105" t="s">
        <v>126</v>
      </c>
      <c r="B105" s="1">
        <v>0.34780092592592593</v>
      </c>
      <c r="C105" s="1">
        <v>0.21134259259259258</v>
      </c>
      <c r="D105">
        <v>108</v>
      </c>
      <c r="E105" s="4">
        <v>0.7429</v>
      </c>
      <c r="F105" s="4">
        <v>0.59189999999999998</v>
      </c>
      <c r="G105" s="4">
        <v>0.60860000000000003</v>
      </c>
      <c r="H105" s="4">
        <v>6.9999999999999999E-4</v>
      </c>
      <c r="I105" s="4">
        <v>0.18809999999999999</v>
      </c>
      <c r="J105" s="4">
        <v>2.5999999999999999E-2</v>
      </c>
      <c r="K105" s="4">
        <v>0</v>
      </c>
      <c r="L105" s="4">
        <v>0.13300000000000001</v>
      </c>
      <c r="M105" s="4">
        <v>3.3E-3</v>
      </c>
      <c r="N105">
        <v>1</v>
      </c>
      <c r="O105">
        <v>5</v>
      </c>
    </row>
    <row r="106" spans="1:15" x14ac:dyDescent="0.3">
      <c r="A106" t="s">
        <v>127</v>
      </c>
      <c r="B106" s="1">
        <v>0.34131944444444445</v>
      </c>
      <c r="C106" s="1">
        <v>0.19646990740740741</v>
      </c>
      <c r="D106">
        <v>83</v>
      </c>
      <c r="E106" s="4">
        <v>0.70589999999999997</v>
      </c>
      <c r="F106" s="4">
        <v>0.54720000000000002</v>
      </c>
      <c r="G106" s="4">
        <v>0.56289999999999996</v>
      </c>
      <c r="H106" s="4">
        <v>1.6000000000000001E-3</v>
      </c>
      <c r="I106" s="4">
        <v>0.2301</v>
      </c>
      <c r="J106" s="4">
        <v>1.9E-2</v>
      </c>
      <c r="K106" s="4">
        <v>0</v>
      </c>
      <c r="L106" s="4">
        <v>0.1545</v>
      </c>
      <c r="M106" s="4">
        <v>4.1999999999999997E-3</v>
      </c>
      <c r="N106">
        <v>2</v>
      </c>
      <c r="O106">
        <v>3</v>
      </c>
    </row>
    <row r="107" spans="1:15" x14ac:dyDescent="0.3">
      <c r="A107" t="s">
        <v>128</v>
      </c>
      <c r="B107" s="1">
        <v>0.34600694444444446</v>
      </c>
      <c r="C107" s="1">
        <v>0.20868055555555556</v>
      </c>
      <c r="D107">
        <v>100</v>
      </c>
      <c r="E107" s="4">
        <v>0.73699999999999999</v>
      </c>
      <c r="F107" s="4">
        <v>0.58579999999999999</v>
      </c>
      <c r="G107" s="4">
        <v>0.60199999999999998</v>
      </c>
      <c r="H107" s="4">
        <v>8.9999999999999998E-4</v>
      </c>
      <c r="I107" s="4">
        <v>0.1946</v>
      </c>
      <c r="J107" s="4">
        <v>2.3400000000000001E-2</v>
      </c>
      <c r="K107" s="4">
        <v>0</v>
      </c>
      <c r="L107" s="4">
        <v>0.1391</v>
      </c>
      <c r="M107" s="4">
        <v>3.5999999999999999E-3</v>
      </c>
      <c r="N107">
        <v>1</v>
      </c>
      <c r="O107">
        <v>4</v>
      </c>
    </row>
    <row r="108" spans="1:15" x14ac:dyDescent="0.3">
      <c r="A108" t="s">
        <v>129</v>
      </c>
      <c r="B108" s="1">
        <v>0.33825231481481483</v>
      </c>
      <c r="C108" s="1">
        <v>0.18796296296296297</v>
      </c>
      <c r="D108">
        <v>75</v>
      </c>
      <c r="E108" s="4">
        <v>0.69</v>
      </c>
      <c r="F108" s="4">
        <v>0.52780000000000005</v>
      </c>
      <c r="G108" s="4">
        <v>0.54290000000000005</v>
      </c>
      <c r="H108" s="4">
        <v>2.5000000000000001E-3</v>
      </c>
      <c r="I108" s="4">
        <v>0.252</v>
      </c>
      <c r="J108" s="4">
        <v>1.77E-2</v>
      </c>
      <c r="K108" s="4">
        <v>0</v>
      </c>
      <c r="L108" s="4">
        <v>0.16689999999999999</v>
      </c>
      <c r="M108" s="4">
        <v>5.0000000000000001E-3</v>
      </c>
      <c r="N108">
        <v>3</v>
      </c>
      <c r="O108">
        <v>1</v>
      </c>
    </row>
    <row r="109" spans="1:15" x14ac:dyDescent="0.3">
      <c r="A109" t="s">
        <v>130</v>
      </c>
      <c r="B109" s="1">
        <v>0.34675925925925927</v>
      </c>
      <c r="C109" s="1">
        <v>0.2099537037037037</v>
      </c>
      <c r="D109">
        <v>103</v>
      </c>
      <c r="E109" s="4">
        <v>0.73980000000000001</v>
      </c>
      <c r="F109" s="4">
        <v>0.58840000000000003</v>
      </c>
      <c r="G109" s="4">
        <v>0.60499999999999998</v>
      </c>
      <c r="H109" s="4">
        <v>8.0000000000000004E-4</v>
      </c>
      <c r="I109" s="4">
        <v>0.19209999999999999</v>
      </c>
      <c r="J109" s="4">
        <v>2.4500000000000001E-2</v>
      </c>
      <c r="K109" s="4">
        <v>0</v>
      </c>
      <c r="L109" s="4">
        <v>0.1366</v>
      </c>
      <c r="M109" s="4">
        <v>3.5000000000000001E-3</v>
      </c>
      <c r="N109">
        <v>1</v>
      </c>
      <c r="O109">
        <v>5</v>
      </c>
    </row>
    <row r="110" spans="1:15" x14ac:dyDescent="0.3">
      <c r="A110" t="s">
        <v>131</v>
      </c>
      <c r="B110" s="1">
        <v>0.33987268518518521</v>
      </c>
      <c r="C110" s="1">
        <v>0.19259259259259259</v>
      </c>
      <c r="D110">
        <v>80</v>
      </c>
      <c r="E110" s="4">
        <v>0.69899999999999995</v>
      </c>
      <c r="F110" s="4">
        <v>0.54020000000000001</v>
      </c>
      <c r="G110" s="4">
        <v>0.55569999999999997</v>
      </c>
      <c r="H110" s="4">
        <v>1.9E-3</v>
      </c>
      <c r="I110" s="4">
        <v>0.23749999999999999</v>
      </c>
      <c r="J110" s="4">
        <v>1.8499999999999999E-2</v>
      </c>
      <c r="K110" s="4">
        <v>0</v>
      </c>
      <c r="L110" s="4">
        <v>0.15890000000000001</v>
      </c>
      <c r="M110" s="4">
        <v>4.4999999999999997E-3</v>
      </c>
      <c r="N110">
        <v>2</v>
      </c>
      <c r="O110">
        <v>2</v>
      </c>
    </row>
    <row r="111" spans="1:15" x14ac:dyDescent="0.3">
      <c r="A111" t="s">
        <v>132</v>
      </c>
      <c r="B111" s="1">
        <v>0.34890046296296295</v>
      </c>
      <c r="C111" s="1">
        <v>0.2134837962962963</v>
      </c>
      <c r="D111">
        <v>111</v>
      </c>
      <c r="E111" s="4">
        <v>0.74790000000000001</v>
      </c>
      <c r="F111" s="4">
        <v>0.59789999999999999</v>
      </c>
      <c r="G111" s="4">
        <v>0.61470000000000002</v>
      </c>
      <c r="H111" s="4">
        <v>5.0000000000000001E-4</v>
      </c>
      <c r="I111" s="4">
        <v>0.1835</v>
      </c>
      <c r="J111" s="4">
        <v>2.7099999999999999E-2</v>
      </c>
      <c r="K111" s="4">
        <v>0</v>
      </c>
      <c r="L111" s="4">
        <v>0.12989999999999999</v>
      </c>
      <c r="M111" s="4">
        <v>3.0999999999999999E-3</v>
      </c>
      <c r="N111">
        <v>0</v>
      </c>
      <c r="O111">
        <v>6</v>
      </c>
    </row>
    <row r="112" spans="1:15" x14ac:dyDescent="0.3">
      <c r="A112" t="s">
        <v>133</v>
      </c>
      <c r="B112" s="1">
        <v>0.33796296296296297</v>
      </c>
      <c r="C112" s="1">
        <v>0.18668981481481481</v>
      </c>
      <c r="D112">
        <v>74</v>
      </c>
      <c r="E112" s="4">
        <v>0.6865</v>
      </c>
      <c r="F112" s="4">
        <v>0.52300000000000002</v>
      </c>
      <c r="G112" s="4">
        <v>0.53820000000000001</v>
      </c>
      <c r="H112" s="4">
        <v>2.5999999999999999E-3</v>
      </c>
      <c r="I112" s="4">
        <v>0.25569999999999998</v>
      </c>
      <c r="J112" s="4">
        <v>1.7100000000000001E-2</v>
      </c>
      <c r="K112" s="4">
        <v>0</v>
      </c>
      <c r="L112" s="4">
        <v>0.16950000000000001</v>
      </c>
      <c r="M112" s="4">
        <v>5.3E-3</v>
      </c>
      <c r="N112">
        <v>3</v>
      </c>
      <c r="O112">
        <v>1</v>
      </c>
    </row>
    <row r="113" spans="1:15" x14ac:dyDescent="0.3">
      <c r="A113" t="s">
        <v>134</v>
      </c>
      <c r="B113" s="1">
        <v>0.3447337962962963</v>
      </c>
      <c r="C113" s="1">
        <v>0.2038773148148148</v>
      </c>
      <c r="D113">
        <v>94</v>
      </c>
      <c r="E113" s="4">
        <v>0.72440000000000004</v>
      </c>
      <c r="F113" s="4">
        <v>0.57499999999999996</v>
      </c>
      <c r="G113" s="4">
        <v>0.5907</v>
      </c>
      <c r="H113" s="4">
        <v>1.1000000000000001E-3</v>
      </c>
      <c r="I113" s="4">
        <v>0.20710000000000001</v>
      </c>
      <c r="J113" s="4">
        <v>2.1499999999999998E-2</v>
      </c>
      <c r="K113" s="4">
        <v>0</v>
      </c>
      <c r="L113" s="4">
        <v>0.14449999999999999</v>
      </c>
      <c r="M113" s="4">
        <v>3.8999999999999998E-3</v>
      </c>
      <c r="N113">
        <v>1</v>
      </c>
      <c r="O113">
        <v>4</v>
      </c>
    </row>
    <row r="114" spans="1:15" x14ac:dyDescent="0.3">
      <c r="A114" t="s">
        <v>135</v>
      </c>
      <c r="B114" s="1">
        <v>0.33906249999999999</v>
      </c>
      <c r="C114" s="1">
        <v>0.18969907407407408</v>
      </c>
      <c r="D114">
        <v>77</v>
      </c>
      <c r="E114" s="4">
        <v>0.69389999999999996</v>
      </c>
      <c r="F114" s="4">
        <v>0.53180000000000005</v>
      </c>
      <c r="G114" s="4">
        <v>0.54720000000000002</v>
      </c>
      <c r="H114" s="4">
        <v>2.3E-3</v>
      </c>
      <c r="I114" s="4">
        <v>0.2492</v>
      </c>
      <c r="J114" s="4">
        <v>1.7999999999999999E-2</v>
      </c>
      <c r="K114" s="4">
        <v>0</v>
      </c>
      <c r="L114" s="4">
        <v>0.16250000000000001</v>
      </c>
      <c r="M114" s="4">
        <v>4.7999999999999996E-3</v>
      </c>
      <c r="N114">
        <v>2</v>
      </c>
      <c r="O114">
        <v>2</v>
      </c>
    </row>
    <row r="115" spans="1:15" x14ac:dyDescent="0.3">
      <c r="A115" t="s">
        <v>136</v>
      </c>
      <c r="B115" s="1">
        <v>0.34739583333333335</v>
      </c>
      <c r="C115" s="1">
        <v>0.2109375</v>
      </c>
      <c r="D115">
        <v>107</v>
      </c>
      <c r="E115" s="4">
        <v>0.74250000000000005</v>
      </c>
      <c r="F115" s="4">
        <v>0.59140000000000004</v>
      </c>
      <c r="G115" s="4">
        <v>0.60819999999999996</v>
      </c>
      <c r="H115" s="4">
        <v>6.9999999999999999E-4</v>
      </c>
      <c r="I115" s="4">
        <v>0.18870000000000001</v>
      </c>
      <c r="J115" s="4">
        <v>2.5899999999999999E-2</v>
      </c>
      <c r="K115" s="4">
        <v>0</v>
      </c>
      <c r="L115" s="4">
        <v>0.13350000000000001</v>
      </c>
      <c r="M115" s="4">
        <v>3.3999999999999998E-3</v>
      </c>
      <c r="N115">
        <v>1</v>
      </c>
      <c r="O115">
        <v>5</v>
      </c>
    </row>
    <row r="116" spans="1:15" x14ac:dyDescent="0.3">
      <c r="A116" t="s">
        <v>137</v>
      </c>
      <c r="B116" s="1">
        <v>0.34137731481481481</v>
      </c>
      <c r="C116" s="1">
        <v>0.1962962962962963</v>
      </c>
      <c r="D116">
        <v>84</v>
      </c>
      <c r="E116" s="4">
        <v>0.70650000000000002</v>
      </c>
      <c r="F116" s="4">
        <v>0.54800000000000004</v>
      </c>
      <c r="G116" s="4">
        <v>0.56379999999999997</v>
      </c>
      <c r="H116" s="4">
        <v>1.5E-3</v>
      </c>
      <c r="I116" s="4">
        <v>0.22889999999999999</v>
      </c>
      <c r="J116" s="4">
        <v>1.9099999999999999E-2</v>
      </c>
      <c r="K116" s="4">
        <v>0</v>
      </c>
      <c r="L116" s="4">
        <v>0.1535</v>
      </c>
      <c r="M116" s="4">
        <v>4.1000000000000003E-3</v>
      </c>
      <c r="N116">
        <v>2</v>
      </c>
      <c r="O116">
        <v>3</v>
      </c>
    </row>
    <row r="117" spans="1:15" x14ac:dyDescent="0.3">
      <c r="A117" t="s">
        <v>138</v>
      </c>
      <c r="B117" s="1">
        <v>0.34618055555555555</v>
      </c>
      <c r="C117" s="1">
        <v>0.2089699074074074</v>
      </c>
      <c r="D117">
        <v>101</v>
      </c>
      <c r="E117" s="4">
        <v>0.73819999999999997</v>
      </c>
      <c r="F117" s="4">
        <v>0.58730000000000004</v>
      </c>
      <c r="G117" s="4">
        <v>0.60389999999999999</v>
      </c>
      <c r="H117" s="4">
        <v>8.0000000000000004E-4</v>
      </c>
      <c r="I117" s="4">
        <v>0.19320000000000001</v>
      </c>
      <c r="J117" s="4">
        <v>2.4E-2</v>
      </c>
      <c r="K117" s="4">
        <v>0</v>
      </c>
      <c r="L117" s="4">
        <v>0.13800000000000001</v>
      </c>
      <c r="M117" s="4">
        <v>3.5000000000000001E-3</v>
      </c>
      <c r="N117">
        <v>1</v>
      </c>
      <c r="O117">
        <v>4</v>
      </c>
    </row>
    <row r="118" spans="1:15" x14ac:dyDescent="0.3">
      <c r="A118" t="s">
        <v>139</v>
      </c>
      <c r="B118" s="1">
        <v>0.33842592592592591</v>
      </c>
      <c r="C118" s="1">
        <v>0.1882523148148148</v>
      </c>
      <c r="D118">
        <v>76</v>
      </c>
      <c r="E118" s="4">
        <v>0.69089999999999996</v>
      </c>
      <c r="F118" s="4">
        <v>0.52890000000000004</v>
      </c>
      <c r="G118" s="4">
        <v>0.54420000000000002</v>
      </c>
      <c r="H118" s="4">
        <v>2.3999999999999998E-3</v>
      </c>
      <c r="I118" s="4">
        <v>0.25080000000000002</v>
      </c>
      <c r="J118" s="4">
        <v>1.78E-2</v>
      </c>
      <c r="K118" s="4">
        <v>0</v>
      </c>
      <c r="L118" s="4">
        <v>0.16370000000000001</v>
      </c>
      <c r="M118" s="4">
        <v>4.8999999999999998E-3</v>
      </c>
      <c r="N118">
        <v>2</v>
      </c>
      <c r="O118">
        <v>2</v>
      </c>
    </row>
    <row r="119" spans="1:15" x14ac:dyDescent="0.3">
      <c r="A119" t="s">
        <v>140</v>
      </c>
      <c r="B119" s="1">
        <v>0.34699074074074077</v>
      </c>
      <c r="C119" s="1">
        <v>0.21030092592592592</v>
      </c>
      <c r="D119">
        <v>104</v>
      </c>
      <c r="E119" s="4">
        <v>0.74039999999999995</v>
      </c>
      <c r="F119" s="4">
        <v>0.58909999999999996</v>
      </c>
      <c r="G119" s="4">
        <v>0.60580000000000001</v>
      </c>
      <c r="H119" s="4">
        <v>6.9999999999999999E-4</v>
      </c>
      <c r="I119" s="4">
        <v>0.1913</v>
      </c>
      <c r="J119" s="4">
        <v>2.5000000000000001E-2</v>
      </c>
      <c r="K119" s="4">
        <v>0</v>
      </c>
      <c r="L119" s="4">
        <v>0.1358</v>
      </c>
      <c r="M119" s="4">
        <v>3.3999999999999998E-3</v>
      </c>
      <c r="N119">
        <v>1</v>
      </c>
      <c r="O119">
        <v>5</v>
      </c>
    </row>
    <row r="120" spans="1:15" x14ac:dyDescent="0.3">
      <c r="A120" t="s">
        <v>141</v>
      </c>
      <c r="B120" s="1">
        <v>0.34039351851851851</v>
      </c>
      <c r="C120" s="1">
        <v>0.1933449074074074</v>
      </c>
      <c r="D120">
        <v>81</v>
      </c>
      <c r="E120" s="4">
        <v>0.70140000000000002</v>
      </c>
      <c r="F120" s="4">
        <v>0.54200000000000004</v>
      </c>
      <c r="G120" s="4">
        <v>0.55759999999999998</v>
      </c>
      <c r="H120" s="4">
        <v>1.8E-3</v>
      </c>
      <c r="I120" s="4">
        <v>0.2351</v>
      </c>
      <c r="J120" s="4">
        <v>1.8599999999999998E-2</v>
      </c>
      <c r="K120" s="4">
        <v>0</v>
      </c>
      <c r="L120" s="4">
        <v>0.15670000000000001</v>
      </c>
      <c r="M120" s="4">
        <v>4.4000000000000003E-3</v>
      </c>
      <c r="N120">
        <v>2</v>
      </c>
      <c r="O120">
        <v>2</v>
      </c>
    </row>
    <row r="121" spans="1:15" x14ac:dyDescent="0.3">
      <c r="A121" t="s">
        <v>142</v>
      </c>
      <c r="B121" s="1">
        <v>0.34814814814814815</v>
      </c>
      <c r="C121" s="1">
        <v>0.21186342592592591</v>
      </c>
      <c r="D121">
        <v>109</v>
      </c>
      <c r="E121" s="4">
        <v>0.74450000000000005</v>
      </c>
      <c r="F121" s="4">
        <v>0.59419999999999995</v>
      </c>
      <c r="G121" s="4">
        <v>0.61080000000000001</v>
      </c>
      <c r="H121" s="4">
        <v>5.9999999999999995E-4</v>
      </c>
      <c r="I121" s="4">
        <v>0.18609999999999999</v>
      </c>
      <c r="J121" s="4">
        <v>2.6499999999999999E-2</v>
      </c>
      <c r="K121" s="4">
        <v>0</v>
      </c>
      <c r="L121" s="4">
        <v>0.13239999999999999</v>
      </c>
      <c r="M121" s="4">
        <v>3.2000000000000002E-3</v>
      </c>
      <c r="N121">
        <v>0</v>
      </c>
      <c r="O121">
        <v>6</v>
      </c>
    </row>
    <row r="122" spans="1:15" x14ac:dyDescent="0.3">
      <c r="A122" t="s">
        <v>143</v>
      </c>
      <c r="B122" s="1">
        <v>0.33750000000000002</v>
      </c>
      <c r="C122" s="1">
        <v>0.18587962962962962</v>
      </c>
      <c r="D122">
        <v>73</v>
      </c>
      <c r="E122" s="4">
        <v>0.68420000000000003</v>
      </c>
      <c r="F122" s="4">
        <v>0.52090000000000003</v>
      </c>
      <c r="G122" s="4">
        <v>0.53600000000000003</v>
      </c>
      <c r="H122" s="4">
        <v>2.7000000000000001E-3</v>
      </c>
      <c r="I122" s="4">
        <v>0.2586</v>
      </c>
      <c r="J122" s="4">
        <v>1.67E-2</v>
      </c>
      <c r="K122" s="4">
        <v>0</v>
      </c>
      <c r="L122" s="4">
        <v>0.1719</v>
      </c>
      <c r="M122" s="4">
        <v>5.4000000000000003E-3</v>
      </c>
      <c r="N122">
        <v>3</v>
      </c>
      <c r="O122">
        <v>1</v>
      </c>
    </row>
    <row r="123" spans="1:15" x14ac:dyDescent="0.3">
      <c r="A123" t="s">
        <v>144</v>
      </c>
      <c r="B123" s="1">
        <v>0.34531250000000002</v>
      </c>
      <c r="C123" s="1">
        <v>0.20515046296296297</v>
      </c>
      <c r="D123">
        <v>95</v>
      </c>
      <c r="E123" s="4">
        <v>0.72770000000000001</v>
      </c>
      <c r="F123" s="4">
        <v>0.57779999999999998</v>
      </c>
      <c r="G123" s="4">
        <v>0.59350000000000003</v>
      </c>
      <c r="H123" s="4">
        <v>1E-3</v>
      </c>
      <c r="I123" s="4">
        <v>0.20399999999999999</v>
      </c>
      <c r="J123" s="4">
        <v>2.1999999999999999E-2</v>
      </c>
      <c r="K123" s="4">
        <v>0</v>
      </c>
      <c r="L123" s="4">
        <v>0.14249999999999999</v>
      </c>
      <c r="M123" s="4">
        <v>3.8E-3</v>
      </c>
      <c r="N123">
        <v>1</v>
      </c>
      <c r="O123">
        <v>4</v>
      </c>
    </row>
    <row r="124" spans="1:15" x14ac:dyDescent="0.3">
      <c r="A124" t="s">
        <v>145</v>
      </c>
      <c r="B124" s="1">
        <v>0.33929398148148149</v>
      </c>
      <c r="C124" s="1">
        <v>0.19027777777777777</v>
      </c>
      <c r="D124">
        <v>78</v>
      </c>
      <c r="E124" s="4">
        <v>0.69540000000000002</v>
      </c>
      <c r="F124" s="4">
        <v>0.53310000000000002</v>
      </c>
      <c r="G124" s="4">
        <v>0.54859999999999998</v>
      </c>
      <c r="H124" s="4">
        <v>2.2000000000000001E-3</v>
      </c>
      <c r="I124" s="4">
        <v>0.24879999999999999</v>
      </c>
      <c r="J124" s="4">
        <v>1.83E-2</v>
      </c>
      <c r="K124" s="4">
        <v>0</v>
      </c>
      <c r="L124" s="4">
        <v>0.16209999999999999</v>
      </c>
      <c r="M124" s="4">
        <v>4.7000000000000002E-3</v>
      </c>
      <c r="N124">
        <v>2</v>
      </c>
      <c r="O124">
        <v>2</v>
      </c>
    </row>
    <row r="125" spans="1:15" x14ac:dyDescent="0.3">
      <c r="A125" t="s">
        <v>146</v>
      </c>
      <c r="B125" s="1">
        <v>0.34768518518518521</v>
      </c>
      <c r="C125" s="1">
        <v>0.21111111111111111</v>
      </c>
      <c r="D125">
        <v>108</v>
      </c>
      <c r="E125" s="4">
        <v>0.74260000000000004</v>
      </c>
      <c r="F125" s="4">
        <v>0.59150000000000003</v>
      </c>
      <c r="G125" s="4">
        <v>0.60829999999999995</v>
      </c>
      <c r="H125" s="4">
        <v>6.9999999999999999E-4</v>
      </c>
      <c r="I125" s="4">
        <v>0.1885</v>
      </c>
      <c r="J125" s="4">
        <v>2.5899999999999999E-2</v>
      </c>
      <c r="K125" s="4">
        <v>0</v>
      </c>
      <c r="L125" s="4">
        <v>0.13339999999999999</v>
      </c>
      <c r="M125" s="4">
        <v>3.3E-3</v>
      </c>
      <c r="N125">
        <v>1</v>
      </c>
      <c r="O125">
        <v>5</v>
      </c>
    </row>
    <row r="126" spans="1:15" x14ac:dyDescent="0.3">
      <c r="A126" t="s">
        <v>147</v>
      </c>
      <c r="B126" s="1">
        <v>0.34120370370370373</v>
      </c>
      <c r="C126" s="1">
        <v>0.1960648148148148</v>
      </c>
      <c r="D126">
        <v>83</v>
      </c>
      <c r="E126" s="4">
        <v>0.70569999999999999</v>
      </c>
      <c r="F126" s="4">
        <v>0.54679999999999995</v>
      </c>
      <c r="G126" s="4">
        <v>0.56240000000000001</v>
      </c>
      <c r="H126" s="4">
        <v>1.6000000000000001E-3</v>
      </c>
      <c r="I126" s="4">
        <v>0.23039999999999999</v>
      </c>
      <c r="J126" s="4">
        <v>1.9E-2</v>
      </c>
      <c r="K126" s="4">
        <v>0</v>
      </c>
      <c r="L126" s="4">
        <v>0.15490000000000001</v>
      </c>
      <c r="M126" s="4">
        <v>4.1999999999999997E-3</v>
      </c>
      <c r="N126">
        <v>2</v>
      </c>
      <c r="O126">
        <v>3</v>
      </c>
    </row>
    <row r="127" spans="1:15" x14ac:dyDescent="0.3">
      <c r="A127" t="s">
        <v>148</v>
      </c>
      <c r="B127" s="1">
        <v>0.34583333333333333</v>
      </c>
      <c r="C127" s="1">
        <v>0.20844907407407406</v>
      </c>
      <c r="D127">
        <v>100</v>
      </c>
      <c r="E127" s="4">
        <v>0.73660000000000003</v>
      </c>
      <c r="F127" s="4">
        <v>0.58530000000000004</v>
      </c>
      <c r="G127" s="4">
        <v>0.60140000000000005</v>
      </c>
      <c r="H127" s="4">
        <v>8.9999999999999998E-4</v>
      </c>
      <c r="I127" s="4">
        <v>0.19500000000000001</v>
      </c>
      <c r="J127" s="4">
        <v>2.3300000000000001E-2</v>
      </c>
      <c r="K127" s="4">
        <v>0</v>
      </c>
      <c r="L127" s="4">
        <v>0.1394</v>
      </c>
      <c r="M127" s="4">
        <v>3.5999999999999999E-3</v>
      </c>
      <c r="N127">
        <v>1</v>
      </c>
      <c r="O127">
        <v>4</v>
      </c>
    </row>
    <row r="128" spans="1:15" x14ac:dyDescent="0.3">
      <c r="A128" t="s">
        <v>149</v>
      </c>
      <c r="B128" s="1">
        <v>0.33807870370370369</v>
      </c>
      <c r="C128" s="1">
        <v>0.18778935185185186</v>
      </c>
      <c r="D128">
        <v>75</v>
      </c>
      <c r="E128" s="4">
        <v>0.68959999999999999</v>
      </c>
      <c r="F128" s="4">
        <v>0.52739999999999998</v>
      </c>
      <c r="G128" s="4">
        <v>0.54249999999999998</v>
      </c>
      <c r="H128" s="4">
        <v>2.5000000000000001E-3</v>
      </c>
      <c r="I128" s="4">
        <v>0.25240000000000001</v>
      </c>
      <c r="J128" s="4">
        <v>1.7600000000000001E-2</v>
      </c>
      <c r="K128" s="4">
        <v>0</v>
      </c>
      <c r="L128" s="4">
        <v>0.16739999999999999</v>
      </c>
      <c r="M128" s="4">
        <v>5.0000000000000001E-3</v>
      </c>
      <c r="N128">
        <v>3</v>
      </c>
      <c r="O128">
        <v>1</v>
      </c>
    </row>
    <row r="129" spans="1:15" x14ac:dyDescent="0.3">
      <c r="A129" t="s">
        <v>150</v>
      </c>
      <c r="B129" s="1">
        <v>0.34658564814814813</v>
      </c>
      <c r="C129" s="1">
        <v>0.20972222222222223</v>
      </c>
      <c r="D129">
        <v>103</v>
      </c>
      <c r="E129" s="4">
        <v>0.73939999999999995</v>
      </c>
      <c r="F129" s="4">
        <v>0.58799999999999997</v>
      </c>
      <c r="G129" s="4">
        <v>0.60460000000000003</v>
      </c>
      <c r="H129" s="4">
        <v>8.0000000000000004E-4</v>
      </c>
      <c r="I129" s="4">
        <v>0.1925</v>
      </c>
      <c r="J129" s="4">
        <v>2.4400000000000002E-2</v>
      </c>
      <c r="K129" s="4">
        <v>0</v>
      </c>
      <c r="L129" s="4">
        <v>0.13689999999999999</v>
      </c>
      <c r="M129" s="4">
        <v>3.5000000000000001E-3</v>
      </c>
      <c r="N129">
        <v>1</v>
      </c>
      <c r="O129">
        <v>5</v>
      </c>
    </row>
    <row r="130" spans="1:15" x14ac:dyDescent="0.3">
      <c r="A130" t="s">
        <v>151</v>
      </c>
      <c r="B130" s="1">
        <v>0.33975694444444443</v>
      </c>
      <c r="C130" s="1">
        <v>0.19241898148148148</v>
      </c>
      <c r="D130">
        <v>80</v>
      </c>
      <c r="E130" s="4">
        <v>0.6986</v>
      </c>
      <c r="F130" s="4">
        <v>0.53979999999999995</v>
      </c>
      <c r="G130" s="4">
        <v>0.55530000000000002</v>
      </c>
      <c r="H130" s="4">
        <v>1.9E-3</v>
      </c>
      <c r="I130" s="4">
        <v>0.23780000000000001</v>
      </c>
      <c r="J130" s="4">
        <v>1.84E-2</v>
      </c>
      <c r="K130" s="4">
        <v>0</v>
      </c>
      <c r="L130" s="4">
        <v>0.1593</v>
      </c>
      <c r="M130" s="4">
        <v>4.4999999999999997E-3</v>
      </c>
      <c r="N130">
        <v>2</v>
      </c>
      <c r="O130">
        <v>2</v>
      </c>
    </row>
    <row r="131" spans="1:15" x14ac:dyDescent="0.3">
      <c r="A131" t="s">
        <v>152</v>
      </c>
      <c r="B131" s="1">
        <v>0.34901620370370373</v>
      </c>
      <c r="C131" s="1">
        <v>0.21365740740740741</v>
      </c>
      <c r="D131">
        <v>112</v>
      </c>
      <c r="E131" s="4">
        <v>0.74829999999999997</v>
      </c>
      <c r="F131" s="4">
        <v>0.59830000000000005</v>
      </c>
      <c r="G131" s="4">
        <v>0.61519999999999997</v>
      </c>
      <c r="H131" s="4">
        <v>5.0000000000000001E-4</v>
      </c>
      <c r="I131" s="4">
        <v>0.183</v>
      </c>
      <c r="J131" s="4">
        <v>2.7199999999999998E-2</v>
      </c>
      <c r="K131" s="4">
        <v>0</v>
      </c>
      <c r="L131" s="4">
        <v>0.1295</v>
      </c>
      <c r="M131" s="4">
        <v>3.0000000000000001E-3</v>
      </c>
      <c r="N131">
        <v>0</v>
      </c>
      <c r="O131">
        <v>6</v>
      </c>
    </row>
    <row r="132" spans="1:15" x14ac:dyDescent="0.3">
      <c r="A132" t="s">
        <v>153</v>
      </c>
      <c r="B132" s="1">
        <v>0.33784722222222224</v>
      </c>
      <c r="C132" s="1">
        <v>0.1865162037037037</v>
      </c>
      <c r="D132">
        <v>74</v>
      </c>
      <c r="E132" s="4">
        <v>0.68610000000000004</v>
      </c>
      <c r="F132" s="4">
        <v>0.52270000000000005</v>
      </c>
      <c r="G132" s="4">
        <v>0.53790000000000004</v>
      </c>
      <c r="H132" s="4">
        <v>2.5999999999999999E-3</v>
      </c>
      <c r="I132" s="4">
        <v>0.25600000000000001</v>
      </c>
      <c r="J132" s="4">
        <v>1.7000000000000001E-2</v>
      </c>
      <c r="K132" s="4">
        <v>0</v>
      </c>
      <c r="L132" s="4">
        <v>0.16980000000000001</v>
      </c>
      <c r="M132" s="4">
        <v>5.3E-3</v>
      </c>
      <c r="N132">
        <v>3</v>
      </c>
      <c r="O132">
        <v>1</v>
      </c>
    </row>
    <row r="133" spans="1:15" x14ac:dyDescent="0.3">
      <c r="A133" t="s">
        <v>154</v>
      </c>
      <c r="B133" s="1">
        <v>0.34461805555555558</v>
      </c>
      <c r="C133" s="1">
        <v>0.20370370370370369</v>
      </c>
      <c r="D133">
        <v>94</v>
      </c>
      <c r="E133" s="4">
        <v>0.72399999999999998</v>
      </c>
      <c r="F133" s="4">
        <v>0.5746</v>
      </c>
      <c r="G133" s="4">
        <v>0.59030000000000005</v>
      </c>
      <c r="H133" s="4">
        <v>1.1000000000000001E-3</v>
      </c>
      <c r="I133" s="4">
        <v>0.20749999999999999</v>
      </c>
      <c r="J133" s="4">
        <v>2.1399999999999999E-2</v>
      </c>
      <c r="K133" s="4">
        <v>0</v>
      </c>
      <c r="L133" s="4">
        <v>0.1447</v>
      </c>
      <c r="M133" s="4">
        <v>3.8999999999999998E-3</v>
      </c>
      <c r="N133">
        <v>1</v>
      </c>
      <c r="O133">
        <v>4</v>
      </c>
    </row>
    <row r="134" spans="1:15" x14ac:dyDescent="0.3">
      <c r="A134" t="s">
        <v>155</v>
      </c>
      <c r="B134" s="1">
        <v>0.33894675925925927</v>
      </c>
      <c r="C134" s="1">
        <v>0.18952546296296297</v>
      </c>
      <c r="D134">
        <v>77</v>
      </c>
      <c r="E134" s="4">
        <v>0.69350000000000001</v>
      </c>
      <c r="F134" s="4">
        <v>0.53139999999999998</v>
      </c>
      <c r="G134" s="4">
        <v>0.54679999999999995</v>
      </c>
      <c r="H134" s="4">
        <v>2.3E-3</v>
      </c>
      <c r="I134" s="4">
        <v>0.2495</v>
      </c>
      <c r="J134" s="4">
        <v>1.7999999999999999E-2</v>
      </c>
      <c r="K134" s="4">
        <v>0</v>
      </c>
      <c r="L134" s="4">
        <v>0.1628</v>
      </c>
      <c r="M134" s="4">
        <v>4.7999999999999996E-3</v>
      </c>
      <c r="N134">
        <v>2</v>
      </c>
      <c r="O134">
        <v>2</v>
      </c>
    </row>
    <row r="135" spans="1:15" x14ac:dyDescent="0.3">
      <c r="A135" t="s">
        <v>156</v>
      </c>
      <c r="B135" s="1">
        <v>0.34722222222222221</v>
      </c>
      <c r="C135" s="1">
        <v>0.21076388888888889</v>
      </c>
      <c r="D135">
        <v>107</v>
      </c>
      <c r="E135" s="4">
        <v>0.74209999999999998</v>
      </c>
      <c r="F135" s="4">
        <v>0.59109999999999996</v>
      </c>
      <c r="G135" s="4">
        <v>0.6079</v>
      </c>
      <c r="H135" s="4">
        <v>6.9999999999999999E-4</v>
      </c>
      <c r="I135" s="4">
        <v>0.18909999999999999</v>
      </c>
      <c r="J135" s="4">
        <v>2.58E-2</v>
      </c>
      <c r="K135" s="4">
        <v>0</v>
      </c>
      <c r="L135" s="4">
        <v>0.13370000000000001</v>
      </c>
      <c r="M135" s="4">
        <v>3.3999999999999998E-3</v>
      </c>
      <c r="N135">
        <v>1</v>
      </c>
      <c r="O135">
        <v>5</v>
      </c>
    </row>
    <row r="136" spans="1:15" x14ac:dyDescent="0.3">
      <c r="A136" t="s">
        <v>157</v>
      </c>
      <c r="B136" s="1">
        <v>0.34108796296296295</v>
      </c>
      <c r="C136" s="1">
        <v>0.19589120370370369</v>
      </c>
      <c r="D136">
        <v>84</v>
      </c>
      <c r="E136" s="4">
        <v>0.70609999999999995</v>
      </c>
      <c r="F136" s="4">
        <v>0.54759999999999998</v>
      </c>
      <c r="G136" s="4">
        <v>0.56330000000000002</v>
      </c>
      <c r="H136" s="4">
        <v>1.5E-3</v>
      </c>
      <c r="I136" s="4">
        <v>0.22919999999999999</v>
      </c>
      <c r="J136" s="4">
        <v>1.9099999999999999E-2</v>
      </c>
      <c r="K136" s="4">
        <v>0</v>
      </c>
      <c r="L136" s="4">
        <v>0.15379999999999999</v>
      </c>
      <c r="M136" s="4">
        <v>4.1000000000000003E-3</v>
      </c>
      <c r="N136">
        <v>2</v>
      </c>
      <c r="O136">
        <v>3</v>
      </c>
    </row>
    <row r="137" spans="1:15" x14ac:dyDescent="0.3">
      <c r="A137" t="s">
        <v>158</v>
      </c>
      <c r="B137" s="1">
        <v>0.34635416666666669</v>
      </c>
      <c r="C137" s="1">
        <v>0.2092013888888889</v>
      </c>
      <c r="D137">
        <v>102</v>
      </c>
      <c r="E137" s="4">
        <v>0.7389</v>
      </c>
      <c r="F137" s="4">
        <v>0.58779999999999999</v>
      </c>
      <c r="G137" s="4">
        <v>0.60429999999999995</v>
      </c>
      <c r="H137" s="4">
        <v>8.0000000000000004E-4</v>
      </c>
      <c r="I137" s="4">
        <v>0.19289999999999999</v>
      </c>
      <c r="J137" s="4">
        <v>2.4199999999999999E-2</v>
      </c>
      <c r="K137" s="4">
        <v>0</v>
      </c>
      <c r="L137" s="4">
        <v>0.13789999999999999</v>
      </c>
      <c r="M137" s="4">
        <v>3.5000000000000001E-3</v>
      </c>
      <c r="N137">
        <v>1</v>
      </c>
      <c r="O137">
        <v>4</v>
      </c>
    </row>
    <row r="138" spans="1:15" x14ac:dyDescent="0.3">
      <c r="A138" t="s">
        <v>159</v>
      </c>
      <c r="B138" s="1">
        <v>0.33854166666666669</v>
      </c>
      <c r="C138" s="1">
        <v>0.18807870370370369</v>
      </c>
      <c r="D138">
        <v>76</v>
      </c>
      <c r="E138" s="4">
        <v>0.6905</v>
      </c>
      <c r="F138" s="4">
        <v>0.52839999999999998</v>
      </c>
      <c r="G138" s="4">
        <v>0.54369999999999996</v>
      </c>
      <c r="H138" s="4">
        <v>2.3999999999999998E-3</v>
      </c>
      <c r="I138" s="4">
        <v>0.25119999999999998</v>
      </c>
      <c r="J138" s="4">
        <v>1.77E-2</v>
      </c>
      <c r="K138" s="4">
        <v>0</v>
      </c>
      <c r="L138" s="4">
        <v>0.16650000000000001</v>
      </c>
      <c r="M138" s="4">
        <v>4.8999999999999998E-3</v>
      </c>
      <c r="N138">
        <v>2</v>
      </c>
      <c r="O138">
        <v>2</v>
      </c>
    </row>
    <row r="139" spans="1:15" x14ac:dyDescent="0.3">
      <c r="A139" t="s">
        <v>160</v>
      </c>
      <c r="B139" s="1">
        <v>0.34716435185185185</v>
      </c>
      <c r="C139" s="1">
        <v>0.21047453703703703</v>
      </c>
      <c r="D139">
        <v>105</v>
      </c>
      <c r="E139" s="4">
        <v>0.74099999999999999</v>
      </c>
      <c r="F139" s="4">
        <v>0.59</v>
      </c>
      <c r="G139" s="4">
        <v>0.60660000000000003</v>
      </c>
      <c r="H139" s="4">
        <v>6.9999999999999999E-4</v>
      </c>
      <c r="I139" s="4">
        <v>0.1903</v>
      </c>
      <c r="J139" s="4">
        <v>2.52E-2</v>
      </c>
      <c r="K139" s="4">
        <v>0</v>
      </c>
      <c r="L139" s="4">
        <v>0.13500000000000001</v>
      </c>
      <c r="M139" s="4">
        <v>3.3999999999999998E-3</v>
      </c>
      <c r="N139">
        <v>1</v>
      </c>
      <c r="O139">
        <v>5</v>
      </c>
    </row>
    <row r="140" spans="1:15" x14ac:dyDescent="0.3">
      <c r="A140" t="s">
        <v>161</v>
      </c>
      <c r="B140" s="1">
        <v>0.34056712962962965</v>
      </c>
      <c r="C140" s="1">
        <v>0.19351851851851851</v>
      </c>
      <c r="D140">
        <v>81</v>
      </c>
      <c r="E140" s="4">
        <v>0.7016</v>
      </c>
      <c r="F140" s="4">
        <v>0.54220000000000002</v>
      </c>
      <c r="G140" s="4">
        <v>0.55779999999999996</v>
      </c>
      <c r="H140" s="4">
        <v>1.8E-3</v>
      </c>
      <c r="I140" s="4">
        <v>0.2349</v>
      </c>
      <c r="J140" s="4">
        <v>1.8599999999999998E-2</v>
      </c>
      <c r="K140" s="4">
        <v>0</v>
      </c>
      <c r="L140" s="4">
        <v>0.15659999999999999</v>
      </c>
      <c r="M140" s="4">
        <v>4.4000000000000003E-3</v>
      </c>
      <c r="N140">
        <v>2</v>
      </c>
      <c r="O140">
        <v>2</v>
      </c>
    </row>
    <row r="141" spans="1:15" x14ac:dyDescent="0.3">
      <c r="A141" t="s">
        <v>162</v>
      </c>
      <c r="B141" s="1">
        <v>0.34837962962962965</v>
      </c>
      <c r="C141" s="1">
        <v>0.21209490740740741</v>
      </c>
      <c r="D141">
        <v>110</v>
      </c>
      <c r="E141" s="4">
        <v>0.74570000000000003</v>
      </c>
      <c r="F141" s="4">
        <v>0.59560000000000002</v>
      </c>
      <c r="G141" s="4">
        <v>0.61219999999999997</v>
      </c>
      <c r="H141" s="4">
        <v>5.9999999999999995E-4</v>
      </c>
      <c r="I141" s="4">
        <v>0.18490000000000001</v>
      </c>
      <c r="J141" s="4">
        <v>2.6800000000000001E-2</v>
      </c>
      <c r="K141" s="4">
        <v>0</v>
      </c>
      <c r="L141" s="4">
        <v>0.13139999999999999</v>
      </c>
      <c r="M141" s="4">
        <v>3.2000000000000002E-3</v>
      </c>
      <c r="N141">
        <v>0</v>
      </c>
      <c r="O141">
        <v>6</v>
      </c>
    </row>
    <row r="142" spans="1:15" x14ac:dyDescent="0.3">
      <c r="A142" t="s">
        <v>163</v>
      </c>
      <c r="B142" s="1">
        <v>0.3376736111111111</v>
      </c>
      <c r="C142" s="1">
        <v>0.18616898148148148</v>
      </c>
      <c r="D142">
        <v>73</v>
      </c>
      <c r="E142" s="4">
        <v>0.68459999999999999</v>
      </c>
      <c r="F142" s="4">
        <v>0.52129999999999999</v>
      </c>
      <c r="G142" s="4">
        <v>0.53639999999999999</v>
      </c>
      <c r="H142" s="4">
        <v>2.7000000000000001E-3</v>
      </c>
      <c r="I142" s="4">
        <v>0.25800000000000001</v>
      </c>
      <c r="J142" s="4">
        <v>1.6799999999999999E-2</v>
      </c>
      <c r="K142" s="4">
        <v>0</v>
      </c>
      <c r="L142" s="4">
        <v>0.1714</v>
      </c>
      <c r="M142" s="4">
        <v>5.4000000000000003E-3</v>
      </c>
      <c r="N142">
        <v>3</v>
      </c>
      <c r="O142">
        <v>1</v>
      </c>
    </row>
    <row r="143" spans="1:15" x14ac:dyDescent="0.3">
      <c r="A143" t="s">
        <v>164</v>
      </c>
      <c r="B143" s="1">
        <v>0.3454861111111111</v>
      </c>
      <c r="C143" s="1">
        <v>0.20532407407407408</v>
      </c>
      <c r="D143">
        <v>95</v>
      </c>
      <c r="E143" s="4">
        <v>0.72840000000000005</v>
      </c>
      <c r="F143" s="4">
        <v>0.57840000000000003</v>
      </c>
      <c r="G143" s="4">
        <v>0.59409999999999996</v>
      </c>
      <c r="H143" s="4">
        <v>1E-3</v>
      </c>
      <c r="I143" s="4">
        <v>0.2034</v>
      </c>
      <c r="J143" s="4">
        <v>2.2100000000000002E-2</v>
      </c>
      <c r="K143" s="4">
        <v>0</v>
      </c>
      <c r="L143" s="4">
        <v>0.1421</v>
      </c>
      <c r="M143" s="4">
        <v>3.8E-3</v>
      </c>
      <c r="N143">
        <v>1</v>
      </c>
      <c r="O143">
        <v>4</v>
      </c>
    </row>
    <row r="144" spans="1:15" x14ac:dyDescent="0.3">
      <c r="A144" t="s">
        <v>165</v>
      </c>
      <c r="B144" s="1">
        <v>0.33946759259259257</v>
      </c>
      <c r="C144" s="1">
        <v>0.19056712962962963</v>
      </c>
      <c r="D144">
        <v>78</v>
      </c>
      <c r="E144" s="4">
        <v>0.69630000000000003</v>
      </c>
      <c r="F144" s="4">
        <v>0.53410000000000002</v>
      </c>
      <c r="G144" s="4">
        <v>0.54969999999999997</v>
      </c>
      <c r="H144" s="4">
        <v>2.2000000000000001E-3</v>
      </c>
      <c r="I144" s="4">
        <v>0.2482</v>
      </c>
      <c r="J144" s="4">
        <v>1.83E-2</v>
      </c>
      <c r="K144" s="4">
        <v>0</v>
      </c>
      <c r="L144" s="4">
        <v>0.1615</v>
      </c>
      <c r="M144" s="4">
        <v>4.7000000000000002E-3</v>
      </c>
      <c r="N144">
        <v>2</v>
      </c>
      <c r="O144">
        <v>2</v>
      </c>
    </row>
    <row r="145" spans="1:15" x14ac:dyDescent="0.3">
      <c r="A145" t="s">
        <v>166</v>
      </c>
      <c r="B145" s="1">
        <v>0.34745370370370371</v>
      </c>
      <c r="C145" s="1">
        <v>0.21087962962962964</v>
      </c>
      <c r="D145">
        <v>107</v>
      </c>
      <c r="E145" s="4">
        <v>0.74229999999999996</v>
      </c>
      <c r="F145" s="4">
        <v>0.59119999999999995</v>
      </c>
      <c r="G145" s="4">
        <v>0.60799999999999998</v>
      </c>
      <c r="H145" s="4">
        <v>6.9999999999999999E-4</v>
      </c>
      <c r="I145" s="4">
        <v>0.18890000000000001</v>
      </c>
      <c r="J145" s="4">
        <v>2.58E-2</v>
      </c>
      <c r="K145" s="4">
        <v>0</v>
      </c>
      <c r="L145" s="4">
        <v>0.13350000000000001</v>
      </c>
      <c r="M145" s="4">
        <v>3.3999999999999998E-3</v>
      </c>
      <c r="N145">
        <v>1</v>
      </c>
      <c r="O145">
        <v>5</v>
      </c>
    </row>
    <row r="146" spans="1:15" x14ac:dyDescent="0.3">
      <c r="A146" t="s">
        <v>167</v>
      </c>
      <c r="B146" s="1">
        <v>0.34155092592592595</v>
      </c>
      <c r="C146" s="1">
        <v>0.19641203703703702</v>
      </c>
      <c r="D146">
        <v>84</v>
      </c>
      <c r="E146" s="4">
        <v>0.70689999999999997</v>
      </c>
      <c r="F146" s="4">
        <v>0.54879999999999995</v>
      </c>
      <c r="G146" s="4">
        <v>0.56459999999999999</v>
      </c>
      <c r="H146" s="4">
        <v>1.5E-3</v>
      </c>
      <c r="I146" s="4">
        <v>0.22839999999999999</v>
      </c>
      <c r="J146" s="4">
        <v>1.9199999999999998E-2</v>
      </c>
      <c r="K146" s="4">
        <v>0</v>
      </c>
      <c r="L146" s="4">
        <v>0.15340000000000001</v>
      </c>
      <c r="M146" s="4">
        <v>4.1000000000000003E-3</v>
      </c>
      <c r="N146">
        <v>2</v>
      </c>
      <c r="O146">
        <v>3</v>
      </c>
    </row>
    <row r="147" spans="1:15" x14ac:dyDescent="0.3">
      <c r="A147" t="s">
        <v>168</v>
      </c>
      <c r="B147" s="1">
        <v>0.34594907407407405</v>
      </c>
      <c r="C147" s="1">
        <v>0.20862268518518517</v>
      </c>
      <c r="D147">
        <v>100</v>
      </c>
      <c r="E147" s="4">
        <v>0.73709999999999998</v>
      </c>
      <c r="F147" s="4">
        <v>0.58589999999999998</v>
      </c>
      <c r="G147" s="4">
        <v>0.60209999999999997</v>
      </c>
      <c r="H147" s="4">
        <v>8.9999999999999998E-4</v>
      </c>
      <c r="I147" s="4">
        <v>0.19450000000000001</v>
      </c>
      <c r="J147" s="4">
        <v>2.3400000000000001E-2</v>
      </c>
      <c r="K147" s="4">
        <v>0</v>
      </c>
      <c r="L147" s="4">
        <v>0.13900000000000001</v>
      </c>
      <c r="M147" s="4">
        <v>3.5999999999999999E-3</v>
      </c>
      <c r="N147">
        <v>1</v>
      </c>
      <c r="O147">
        <v>4</v>
      </c>
    </row>
    <row r="148" spans="1:15" x14ac:dyDescent="0.3">
      <c r="A148" t="s">
        <v>169</v>
      </c>
      <c r="B148" s="1">
        <v>0.33819444444444446</v>
      </c>
      <c r="C148" s="1">
        <v>0.18784722222222222</v>
      </c>
      <c r="D148">
        <v>75</v>
      </c>
      <c r="E148" s="4">
        <v>0.68979999999999997</v>
      </c>
      <c r="F148" s="4">
        <v>0.52759999999999996</v>
      </c>
      <c r="G148" s="4">
        <v>0.54269999999999996</v>
      </c>
      <c r="H148" s="4">
        <v>2.5000000000000001E-3</v>
      </c>
      <c r="I148" s="4">
        <v>0.25219999999999998</v>
      </c>
      <c r="J148" s="4">
        <v>1.7600000000000001E-2</v>
      </c>
      <c r="K148" s="4">
        <v>0</v>
      </c>
      <c r="L148" s="4">
        <v>0.16719999999999999</v>
      </c>
      <c r="M148" s="4">
        <v>5.0000000000000001E-3</v>
      </c>
      <c r="N148">
        <v>3</v>
      </c>
      <c r="O148">
        <v>1</v>
      </c>
    </row>
    <row r="149" spans="1:15" x14ac:dyDescent="0.3">
      <c r="A149" t="s">
        <v>170</v>
      </c>
      <c r="B149" s="1">
        <v>0.34670138888888891</v>
      </c>
      <c r="C149" s="1">
        <v>0.20989583333333334</v>
      </c>
      <c r="D149">
        <v>103</v>
      </c>
      <c r="E149" s="4">
        <v>0.7399</v>
      </c>
      <c r="F149" s="4">
        <v>0.58850000000000002</v>
      </c>
      <c r="G149" s="4">
        <v>0.60509999999999997</v>
      </c>
      <c r="H149" s="4">
        <v>8.0000000000000004E-4</v>
      </c>
      <c r="I149" s="4">
        <v>0.192</v>
      </c>
      <c r="J149" s="4">
        <v>2.4500000000000001E-2</v>
      </c>
      <c r="K149" s="4">
        <v>0</v>
      </c>
      <c r="L149" s="4">
        <v>0.13669999999999999</v>
      </c>
      <c r="M149" s="4">
        <v>3.5000000000000001E-3</v>
      </c>
      <c r="N149">
        <v>1</v>
      </c>
      <c r="O149">
        <v>5</v>
      </c>
    </row>
    <row r="150" spans="1:15" x14ac:dyDescent="0.3">
      <c r="A150" t="s">
        <v>171</v>
      </c>
      <c r="B150" s="1">
        <v>0.33993055555555557</v>
      </c>
      <c r="C150" s="1">
        <v>0.19253472222222223</v>
      </c>
      <c r="D150">
        <v>80</v>
      </c>
      <c r="E150" s="4">
        <v>0.69889999999999997</v>
      </c>
      <c r="F150" s="4">
        <v>0.54010000000000002</v>
      </c>
      <c r="G150" s="4">
        <v>0.55549999999999999</v>
      </c>
      <c r="H150" s="4">
        <v>1.9E-3</v>
      </c>
      <c r="I150" s="4">
        <v>0.23760000000000001</v>
      </c>
      <c r="J150" s="4">
        <v>1.8499999999999999E-2</v>
      </c>
      <c r="K150" s="4">
        <v>0</v>
      </c>
      <c r="L150" s="4">
        <v>0.15909999999999999</v>
      </c>
      <c r="M150" s="4">
        <v>4.4999999999999997E-3</v>
      </c>
      <c r="N150">
        <v>2</v>
      </c>
      <c r="O150">
        <v>2</v>
      </c>
    </row>
    <row r="151" spans="1:15" x14ac:dyDescent="0.3">
      <c r="A151" t="s">
        <v>172</v>
      </c>
      <c r="B151" s="1">
        <v>0.34895833333333331</v>
      </c>
      <c r="C151" s="1">
        <v>0.21354166666666666</v>
      </c>
      <c r="D151">
        <v>112</v>
      </c>
      <c r="E151" s="4">
        <v>0.74860000000000004</v>
      </c>
      <c r="F151" s="4">
        <v>0.59860000000000002</v>
      </c>
      <c r="G151" s="4">
        <v>0.61550000000000005</v>
      </c>
      <c r="H151" s="4">
        <v>5.0000000000000001E-4</v>
      </c>
      <c r="I151" s="4">
        <v>0.1827</v>
      </c>
      <c r="J151" s="4">
        <v>2.7300000000000001E-2</v>
      </c>
      <c r="K151" s="4">
        <v>0</v>
      </c>
      <c r="L151" s="4">
        <v>0.1293</v>
      </c>
      <c r="M151" s="4">
        <v>3.0000000000000001E-3</v>
      </c>
      <c r="N151">
        <v>0</v>
      </c>
      <c r="O151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435BF-DFA5-4E2A-912D-F57035985F19}">
  <sheetPr codeName="Sheet3"/>
  <dimension ref="A1:J151"/>
  <sheetViews>
    <sheetView workbookViewId="0">
      <selection sqref="A1:J1048576"/>
    </sheetView>
  </sheetViews>
  <sheetFormatPr defaultRowHeight="14.4" x14ac:dyDescent="0.3"/>
  <cols>
    <col min="1" max="1" width="21.77734375" bestFit="1" customWidth="1"/>
    <col min="2" max="2" width="12.6640625" bestFit="1" customWidth="1"/>
    <col min="3" max="4" width="14.77734375" bestFit="1" customWidth="1"/>
    <col min="5" max="5" width="14.109375" bestFit="1" customWidth="1"/>
    <col min="6" max="6" width="9" bestFit="1" customWidth="1"/>
    <col min="7" max="7" width="13.5546875" bestFit="1" customWidth="1"/>
    <col min="8" max="8" width="15" bestFit="1" customWidth="1"/>
    <col min="9" max="9" width="18.88671875" bestFit="1" customWidth="1"/>
    <col min="10" max="10" width="19.5546875" bestFit="1" customWidth="1"/>
  </cols>
  <sheetData>
    <row r="1" spans="1:10" x14ac:dyDescent="0.3">
      <c r="A1" s="6" t="s">
        <v>0</v>
      </c>
      <c r="B1" s="6" t="s">
        <v>11</v>
      </c>
      <c r="C1" s="6" t="s">
        <v>173</v>
      </c>
      <c r="D1" s="6" t="s">
        <v>174</v>
      </c>
      <c r="E1" s="6" t="s">
        <v>175</v>
      </c>
      <c r="F1" s="6" t="s">
        <v>176</v>
      </c>
      <c r="G1" s="6" t="s">
        <v>177</v>
      </c>
      <c r="H1" s="6" t="s">
        <v>178</v>
      </c>
      <c r="I1" s="6" t="s">
        <v>179</v>
      </c>
      <c r="J1" s="6" t="s">
        <v>180</v>
      </c>
    </row>
    <row r="2" spans="1:10" x14ac:dyDescent="0.3">
      <c r="A2" t="s">
        <v>23</v>
      </c>
      <c r="B2">
        <v>98</v>
      </c>
      <c r="C2">
        <v>8</v>
      </c>
      <c r="D2">
        <v>2</v>
      </c>
      <c r="E2">
        <v>4</v>
      </c>
      <c r="F2">
        <v>11</v>
      </c>
      <c r="G2" s="4">
        <v>0.11219999999999999</v>
      </c>
      <c r="H2" s="1">
        <v>3.1828703703703702E-3</v>
      </c>
      <c r="I2" s="1">
        <v>3.0092592592592595E-4</v>
      </c>
      <c r="J2" s="1">
        <v>3.2986111111111111E-3</v>
      </c>
    </row>
    <row r="3" spans="1:10" x14ac:dyDescent="0.3">
      <c r="A3" t="s">
        <v>24</v>
      </c>
      <c r="B3">
        <v>23</v>
      </c>
      <c r="C3">
        <v>2</v>
      </c>
      <c r="D3">
        <v>0</v>
      </c>
      <c r="E3">
        <v>1</v>
      </c>
      <c r="F3">
        <v>3</v>
      </c>
      <c r="G3" s="4">
        <v>0.13039999999999999</v>
      </c>
      <c r="H3" s="1">
        <v>2.9861111111111113E-3</v>
      </c>
      <c r="I3" s="1">
        <v>2.5462962962962961E-4</v>
      </c>
      <c r="J3" s="1">
        <v>9.837962962962962E-4</v>
      </c>
    </row>
    <row r="4" spans="1:10" x14ac:dyDescent="0.3">
      <c r="A4" t="s">
        <v>25</v>
      </c>
      <c r="B4">
        <v>28</v>
      </c>
      <c r="C4">
        <v>2</v>
      </c>
      <c r="D4">
        <v>1</v>
      </c>
      <c r="E4">
        <v>1</v>
      </c>
      <c r="F4">
        <v>4</v>
      </c>
      <c r="G4" s="4">
        <v>0.1429</v>
      </c>
      <c r="H4" s="1">
        <v>2.9166666666666668E-3</v>
      </c>
      <c r="I4" s="1">
        <v>2.7777777777777778E-4</v>
      </c>
      <c r="J4" s="1">
        <v>1.1805555555555556E-3</v>
      </c>
    </row>
    <row r="5" spans="1:10" x14ac:dyDescent="0.3">
      <c r="A5" t="s">
        <v>26</v>
      </c>
      <c r="B5">
        <v>29</v>
      </c>
      <c r="C5">
        <v>3</v>
      </c>
      <c r="D5">
        <v>1</v>
      </c>
      <c r="E5">
        <v>1</v>
      </c>
      <c r="F5">
        <v>4</v>
      </c>
      <c r="G5" s="4">
        <v>0.13789999999999999</v>
      </c>
      <c r="H5" s="1">
        <v>3.0671296296296297E-3</v>
      </c>
      <c r="I5" s="1">
        <v>2.6620370370370372E-4</v>
      </c>
      <c r="J5" s="1">
        <v>1.3657407407407407E-3</v>
      </c>
    </row>
    <row r="6" spans="1:10" x14ac:dyDescent="0.3">
      <c r="A6" t="s">
        <v>27</v>
      </c>
      <c r="B6">
        <v>93</v>
      </c>
      <c r="C6">
        <v>7</v>
      </c>
      <c r="D6">
        <v>2</v>
      </c>
      <c r="E6">
        <v>4</v>
      </c>
      <c r="F6">
        <v>10</v>
      </c>
      <c r="G6" s="4">
        <v>0.1075</v>
      </c>
      <c r="H6" s="1">
        <v>3.2638888888888891E-3</v>
      </c>
      <c r="I6" s="1">
        <v>3.1250000000000001E-4</v>
      </c>
      <c r="J6" s="1">
        <v>3.0092592592592593E-3</v>
      </c>
    </row>
    <row r="7" spans="1:10" x14ac:dyDescent="0.3">
      <c r="A7" t="s">
        <v>28</v>
      </c>
      <c r="B7">
        <v>92</v>
      </c>
      <c r="C7">
        <v>7</v>
      </c>
      <c r="D7">
        <v>2</v>
      </c>
      <c r="E7">
        <v>3</v>
      </c>
      <c r="F7">
        <v>11</v>
      </c>
      <c r="G7" s="4">
        <v>0.1196</v>
      </c>
      <c r="H7" s="1">
        <v>3.2175925925925926E-3</v>
      </c>
      <c r="I7" s="1">
        <v>3.2407407407407406E-4</v>
      </c>
      <c r="J7" s="1">
        <v>2.8356481481481483E-3</v>
      </c>
    </row>
    <row r="8" spans="1:10" x14ac:dyDescent="0.3">
      <c r="A8" t="s">
        <v>29</v>
      </c>
      <c r="B8">
        <v>26</v>
      </c>
      <c r="C8">
        <v>2</v>
      </c>
      <c r="D8">
        <v>1</v>
      </c>
      <c r="E8">
        <v>1</v>
      </c>
      <c r="F8">
        <v>3</v>
      </c>
      <c r="G8" s="4">
        <v>0.1154</v>
      </c>
      <c r="H8" s="1">
        <v>2.8935185185185184E-3</v>
      </c>
      <c r="I8" s="1">
        <v>2.4305555555555555E-4</v>
      </c>
      <c r="J8" s="1">
        <v>1.0648148148148149E-3</v>
      </c>
    </row>
    <row r="9" spans="1:10" x14ac:dyDescent="0.3">
      <c r="A9" t="s">
        <v>30</v>
      </c>
      <c r="B9">
        <v>90</v>
      </c>
      <c r="C9">
        <v>8</v>
      </c>
      <c r="D9">
        <v>2</v>
      </c>
      <c r="E9">
        <v>4</v>
      </c>
      <c r="F9">
        <v>12</v>
      </c>
      <c r="G9" s="4">
        <v>0.1333</v>
      </c>
      <c r="H9" s="1">
        <v>3.3680555555555556E-3</v>
      </c>
      <c r="I9" s="1">
        <v>3.4722222222222224E-4</v>
      </c>
      <c r="J9" s="1">
        <v>3.6111111111111109E-3</v>
      </c>
    </row>
    <row r="10" spans="1:10" x14ac:dyDescent="0.3">
      <c r="A10" t="s">
        <v>31</v>
      </c>
      <c r="B10">
        <v>89</v>
      </c>
      <c r="C10">
        <v>7</v>
      </c>
      <c r="D10">
        <v>2</v>
      </c>
      <c r="E10">
        <v>3</v>
      </c>
      <c r="F10">
        <v>10</v>
      </c>
      <c r="G10" s="4">
        <v>0.1124</v>
      </c>
      <c r="H10" s="1">
        <v>3.2870370370370371E-3</v>
      </c>
      <c r="I10" s="1">
        <v>3.2407407407407406E-4</v>
      </c>
      <c r="J10" s="1">
        <v>3.3333333333333335E-3</v>
      </c>
    </row>
    <row r="11" spans="1:10" x14ac:dyDescent="0.3">
      <c r="A11" t="s">
        <v>32</v>
      </c>
      <c r="B11">
        <v>54</v>
      </c>
      <c r="C11">
        <v>4</v>
      </c>
      <c r="D11">
        <v>1</v>
      </c>
      <c r="E11">
        <v>2</v>
      </c>
      <c r="F11">
        <v>6</v>
      </c>
      <c r="G11" s="4">
        <v>0.1111</v>
      </c>
      <c r="H11" s="1">
        <v>3.0092592592592593E-3</v>
      </c>
      <c r="I11" s="1">
        <v>2.7777777777777778E-4</v>
      </c>
      <c r="J11" s="1">
        <v>1.7939814814814815E-3</v>
      </c>
    </row>
    <row r="12" spans="1:10" x14ac:dyDescent="0.3">
      <c r="A12" t="s">
        <v>33</v>
      </c>
      <c r="B12">
        <v>87</v>
      </c>
      <c r="C12">
        <v>7</v>
      </c>
      <c r="D12">
        <v>2</v>
      </c>
      <c r="E12">
        <v>3</v>
      </c>
      <c r="F12">
        <v>10</v>
      </c>
      <c r="G12" s="4">
        <v>0.1149</v>
      </c>
      <c r="H12" s="1">
        <v>3.2407407407407406E-3</v>
      </c>
      <c r="I12" s="1">
        <v>3.1250000000000001E-4</v>
      </c>
      <c r="J12" s="1">
        <v>3.0671296296296297E-3</v>
      </c>
    </row>
    <row r="13" spans="1:10" x14ac:dyDescent="0.3">
      <c r="A13" t="s">
        <v>34</v>
      </c>
      <c r="B13">
        <v>65</v>
      </c>
      <c r="C13">
        <v>5</v>
      </c>
      <c r="D13">
        <v>1</v>
      </c>
      <c r="E13">
        <v>2</v>
      </c>
      <c r="F13">
        <v>7</v>
      </c>
      <c r="G13" s="4">
        <v>0.1077</v>
      </c>
      <c r="H13" s="1">
        <v>3.1018518518518517E-3</v>
      </c>
      <c r="I13" s="1">
        <v>2.8935185185185184E-4</v>
      </c>
      <c r="J13" s="1">
        <v>2.1759259259259258E-3</v>
      </c>
    </row>
    <row r="14" spans="1:10" x14ac:dyDescent="0.3">
      <c r="A14" t="s">
        <v>35</v>
      </c>
      <c r="B14">
        <v>85</v>
      </c>
      <c r="C14">
        <v>7</v>
      </c>
      <c r="D14">
        <v>2</v>
      </c>
      <c r="E14">
        <v>3</v>
      </c>
      <c r="F14">
        <v>10</v>
      </c>
      <c r="G14" s="4">
        <v>0.1176</v>
      </c>
      <c r="H14" s="1">
        <v>3.3101851851851851E-3</v>
      </c>
      <c r="I14" s="1">
        <v>3.2407407407407406E-4</v>
      </c>
      <c r="J14" s="1">
        <v>3.2638888888888891E-3</v>
      </c>
    </row>
    <row r="15" spans="1:10" x14ac:dyDescent="0.3">
      <c r="A15" t="s">
        <v>36</v>
      </c>
      <c r="B15">
        <v>65</v>
      </c>
      <c r="C15">
        <v>5</v>
      </c>
      <c r="D15">
        <v>1</v>
      </c>
      <c r="E15">
        <v>2</v>
      </c>
      <c r="F15">
        <v>7</v>
      </c>
      <c r="G15" s="4">
        <v>0.1077</v>
      </c>
      <c r="H15" s="1">
        <v>3.0555555555555557E-3</v>
      </c>
      <c r="I15" s="1">
        <v>2.7777777777777778E-4</v>
      </c>
      <c r="J15" s="1">
        <v>2.2222222222222222E-3</v>
      </c>
    </row>
    <row r="16" spans="1:10" x14ac:dyDescent="0.3">
      <c r="A16" t="s">
        <v>37</v>
      </c>
      <c r="B16">
        <v>83</v>
      </c>
      <c r="C16">
        <v>6</v>
      </c>
      <c r="D16">
        <v>2</v>
      </c>
      <c r="E16">
        <v>3</v>
      </c>
      <c r="F16">
        <v>9</v>
      </c>
      <c r="G16" s="4">
        <v>0.1084</v>
      </c>
      <c r="H16" s="1">
        <v>3.1828703703703702E-3</v>
      </c>
      <c r="I16" s="1">
        <v>3.0092592592592595E-4</v>
      </c>
      <c r="J16" s="1">
        <v>2.7777777777777779E-3</v>
      </c>
    </row>
    <row r="17" spans="1:10" x14ac:dyDescent="0.3">
      <c r="A17" t="s">
        <v>38</v>
      </c>
      <c r="B17">
        <v>81</v>
      </c>
      <c r="C17">
        <v>6</v>
      </c>
      <c r="D17">
        <v>2</v>
      </c>
      <c r="E17">
        <v>3</v>
      </c>
      <c r="F17">
        <v>9</v>
      </c>
      <c r="G17" s="4">
        <v>0.1111</v>
      </c>
      <c r="H17" s="1">
        <v>3.1365740740740742E-3</v>
      </c>
      <c r="I17" s="1">
        <v>2.8935185185185184E-4</v>
      </c>
      <c r="J17" s="1">
        <v>2.7199074074074074E-3</v>
      </c>
    </row>
    <row r="18" spans="1:10" x14ac:dyDescent="0.3">
      <c r="A18" t="s">
        <v>39</v>
      </c>
      <c r="B18">
        <v>76</v>
      </c>
      <c r="C18">
        <v>5</v>
      </c>
      <c r="D18">
        <v>1</v>
      </c>
      <c r="E18">
        <v>2</v>
      </c>
      <c r="F18">
        <v>8</v>
      </c>
      <c r="G18" s="4">
        <v>0.1053</v>
      </c>
      <c r="H18" s="1">
        <v>3.0324074074074073E-3</v>
      </c>
      <c r="I18" s="1">
        <v>2.7777777777777778E-4</v>
      </c>
      <c r="J18" s="1">
        <v>2.4305555555555556E-3</v>
      </c>
    </row>
    <row r="19" spans="1:10" x14ac:dyDescent="0.3">
      <c r="A19" t="s">
        <v>40</v>
      </c>
      <c r="B19">
        <v>72</v>
      </c>
      <c r="C19">
        <v>5</v>
      </c>
      <c r="D19">
        <v>1</v>
      </c>
      <c r="E19">
        <v>2</v>
      </c>
      <c r="F19">
        <v>8</v>
      </c>
      <c r="G19" s="4">
        <v>0.1111</v>
      </c>
      <c r="H19" s="1">
        <v>2.9861111111111113E-3</v>
      </c>
      <c r="I19" s="1">
        <v>2.6620370370370372E-4</v>
      </c>
      <c r="J19" s="1">
        <v>2.2916666666666667E-3</v>
      </c>
    </row>
    <row r="20" spans="1:10" x14ac:dyDescent="0.3">
      <c r="A20" t="s">
        <v>41</v>
      </c>
      <c r="B20">
        <v>104</v>
      </c>
      <c r="C20">
        <v>8</v>
      </c>
      <c r="D20">
        <v>3</v>
      </c>
      <c r="E20">
        <v>4</v>
      </c>
      <c r="F20">
        <v>12</v>
      </c>
      <c r="G20" s="4">
        <v>0.1154</v>
      </c>
      <c r="H20" s="1">
        <v>3.3796296296296296E-3</v>
      </c>
      <c r="I20" s="1">
        <v>3.4722222222222224E-4</v>
      </c>
      <c r="J20" s="1">
        <v>3.6805555555555554E-3</v>
      </c>
    </row>
    <row r="21" spans="1:10" x14ac:dyDescent="0.3">
      <c r="A21" t="s">
        <v>42</v>
      </c>
      <c r="B21">
        <v>68</v>
      </c>
      <c r="C21">
        <v>5</v>
      </c>
      <c r="D21">
        <v>1</v>
      </c>
      <c r="E21">
        <v>2</v>
      </c>
      <c r="F21">
        <v>7</v>
      </c>
      <c r="G21" s="4">
        <v>0.10290000000000001</v>
      </c>
      <c r="H21" s="1">
        <v>2.9629629629629628E-3</v>
      </c>
      <c r="I21" s="1">
        <v>2.6620370370370372E-4</v>
      </c>
      <c r="J21" s="1">
        <v>2.1412037037037038E-3</v>
      </c>
    </row>
    <row r="22" spans="1:10" x14ac:dyDescent="0.3">
      <c r="A22" t="s">
        <v>43</v>
      </c>
      <c r="B22">
        <v>109</v>
      </c>
      <c r="C22">
        <v>9</v>
      </c>
      <c r="D22">
        <v>3</v>
      </c>
      <c r="E22">
        <v>4</v>
      </c>
      <c r="F22">
        <v>13</v>
      </c>
      <c r="G22" s="4">
        <v>0.1193</v>
      </c>
      <c r="H22" s="1">
        <v>3.414351851851852E-3</v>
      </c>
      <c r="I22" s="1">
        <v>3.5879629629629629E-4</v>
      </c>
      <c r="J22" s="1">
        <v>3.8773148148148148E-3</v>
      </c>
    </row>
    <row r="23" spans="1:10" x14ac:dyDescent="0.3">
      <c r="A23" t="s">
        <v>44</v>
      </c>
      <c r="B23">
        <v>79</v>
      </c>
      <c r="C23">
        <v>6</v>
      </c>
      <c r="D23">
        <v>2</v>
      </c>
      <c r="E23">
        <v>3</v>
      </c>
      <c r="F23">
        <v>9</v>
      </c>
      <c r="G23" s="4">
        <v>0.1139</v>
      </c>
      <c r="H23" s="1">
        <v>3.1134259259259257E-3</v>
      </c>
      <c r="I23" s="1">
        <v>2.8935185185185184E-4</v>
      </c>
      <c r="J23" s="1">
        <v>2.638888888888889E-3</v>
      </c>
    </row>
    <row r="24" spans="1:10" x14ac:dyDescent="0.3">
      <c r="A24" t="s">
        <v>45</v>
      </c>
      <c r="B24">
        <v>91</v>
      </c>
      <c r="C24">
        <v>7</v>
      </c>
      <c r="D24">
        <v>2</v>
      </c>
      <c r="E24">
        <v>3</v>
      </c>
      <c r="F24">
        <v>10</v>
      </c>
      <c r="G24" s="4">
        <v>0.1099</v>
      </c>
      <c r="H24" s="1">
        <v>3.2638888888888891E-3</v>
      </c>
      <c r="I24" s="1">
        <v>3.1250000000000001E-4</v>
      </c>
      <c r="J24" s="1">
        <v>2.9861111111111113E-3</v>
      </c>
    </row>
    <row r="25" spans="1:10" x14ac:dyDescent="0.3">
      <c r="A25" t="s">
        <v>46</v>
      </c>
      <c r="B25">
        <v>74</v>
      </c>
      <c r="C25">
        <v>5</v>
      </c>
      <c r="D25">
        <v>1</v>
      </c>
      <c r="E25">
        <v>2</v>
      </c>
      <c r="F25">
        <v>8</v>
      </c>
      <c r="G25" s="4">
        <v>0.1081</v>
      </c>
      <c r="H25" s="1">
        <v>3.0092592592592593E-3</v>
      </c>
      <c r="I25" s="1">
        <v>2.7777777777777778E-4</v>
      </c>
      <c r="J25" s="1">
        <v>2.3726851851851851E-3</v>
      </c>
    </row>
    <row r="26" spans="1:10" x14ac:dyDescent="0.3">
      <c r="A26" t="s">
        <v>47</v>
      </c>
      <c r="B26">
        <v>102</v>
      </c>
      <c r="C26">
        <v>8</v>
      </c>
      <c r="D26">
        <v>3</v>
      </c>
      <c r="E26">
        <v>4</v>
      </c>
      <c r="F26">
        <v>12</v>
      </c>
      <c r="G26" s="4">
        <v>0.1176</v>
      </c>
      <c r="H26" s="1">
        <v>3.3564814814814816E-3</v>
      </c>
      <c r="I26" s="1">
        <v>3.4722222222222224E-4</v>
      </c>
      <c r="J26" s="1">
        <v>3.5648148148148149E-3</v>
      </c>
    </row>
    <row r="27" spans="1:10" x14ac:dyDescent="0.3">
      <c r="A27" t="s">
        <v>48</v>
      </c>
      <c r="B27">
        <v>70</v>
      </c>
      <c r="C27">
        <v>5</v>
      </c>
      <c r="D27">
        <v>1</v>
      </c>
      <c r="E27">
        <v>2</v>
      </c>
      <c r="F27">
        <v>7</v>
      </c>
      <c r="G27" s="4">
        <v>0.1</v>
      </c>
      <c r="H27" s="1">
        <v>2.9745370370370373E-3</v>
      </c>
      <c r="I27" s="1">
        <v>2.6620370370370372E-4</v>
      </c>
      <c r="J27" s="1">
        <v>2.1990740740740742E-3</v>
      </c>
    </row>
    <row r="28" spans="1:10" x14ac:dyDescent="0.3">
      <c r="A28" t="s">
        <v>49</v>
      </c>
      <c r="B28">
        <v>95</v>
      </c>
      <c r="C28">
        <v>7</v>
      </c>
      <c r="D28">
        <v>2</v>
      </c>
      <c r="E28">
        <v>3</v>
      </c>
      <c r="F28">
        <v>11</v>
      </c>
      <c r="G28" s="4">
        <v>0.1158</v>
      </c>
      <c r="H28" s="1">
        <v>3.2523148148148147E-3</v>
      </c>
      <c r="I28" s="1">
        <v>3.1250000000000001E-4</v>
      </c>
      <c r="J28" s="1">
        <v>3.1481481481481482E-3</v>
      </c>
    </row>
    <row r="29" spans="1:10" x14ac:dyDescent="0.3">
      <c r="A29" t="s">
        <v>50</v>
      </c>
      <c r="B29">
        <v>78</v>
      </c>
      <c r="C29">
        <v>5</v>
      </c>
      <c r="D29">
        <v>1</v>
      </c>
      <c r="E29">
        <v>2</v>
      </c>
      <c r="F29">
        <v>8</v>
      </c>
      <c r="G29" s="4">
        <v>0.1026</v>
      </c>
      <c r="H29" s="1">
        <v>3.0439814814814813E-3</v>
      </c>
      <c r="I29" s="1">
        <v>2.7777777777777778E-4</v>
      </c>
      <c r="J29" s="1">
        <v>2.5000000000000001E-3</v>
      </c>
    </row>
    <row r="30" spans="1:10" x14ac:dyDescent="0.3">
      <c r="A30" t="s">
        <v>51</v>
      </c>
      <c r="B30">
        <v>107</v>
      </c>
      <c r="C30">
        <v>8</v>
      </c>
      <c r="D30">
        <v>3</v>
      </c>
      <c r="E30">
        <v>4</v>
      </c>
      <c r="F30">
        <v>13</v>
      </c>
      <c r="G30" s="4">
        <v>0.1215</v>
      </c>
      <c r="H30" s="1">
        <v>3.4027777777777776E-3</v>
      </c>
      <c r="I30" s="1">
        <v>3.5879629629629629E-4</v>
      </c>
      <c r="J30" s="1">
        <v>3.7268518518518519E-3</v>
      </c>
    </row>
    <row r="31" spans="1:10" x14ac:dyDescent="0.3">
      <c r="A31" t="s">
        <v>52</v>
      </c>
      <c r="B31">
        <v>84</v>
      </c>
      <c r="C31">
        <v>6</v>
      </c>
      <c r="D31">
        <v>2</v>
      </c>
      <c r="E31">
        <v>3</v>
      </c>
      <c r="F31">
        <v>9</v>
      </c>
      <c r="G31" s="4">
        <v>0.1071</v>
      </c>
      <c r="H31" s="1">
        <v>3.1250000000000002E-3</v>
      </c>
      <c r="I31" s="1">
        <v>2.8935185185185184E-4</v>
      </c>
      <c r="J31" s="1">
        <v>2.7546296296296294E-3</v>
      </c>
    </row>
    <row r="32" spans="1:10" x14ac:dyDescent="0.3">
      <c r="A32" t="s">
        <v>53</v>
      </c>
      <c r="B32">
        <v>97</v>
      </c>
      <c r="C32">
        <v>7</v>
      </c>
      <c r="D32">
        <v>2</v>
      </c>
      <c r="E32">
        <v>4</v>
      </c>
      <c r="F32">
        <v>11</v>
      </c>
      <c r="G32" s="4">
        <v>0.1134</v>
      </c>
      <c r="H32" s="1">
        <v>3.3101851851851851E-3</v>
      </c>
      <c r="I32" s="1">
        <v>3.2407407407407406E-4</v>
      </c>
      <c r="J32" s="1">
        <v>3.3333333333333335E-3</v>
      </c>
    </row>
    <row r="33" spans="1:10" x14ac:dyDescent="0.3">
      <c r="A33" t="s">
        <v>54</v>
      </c>
      <c r="B33">
        <v>73</v>
      </c>
      <c r="C33">
        <v>5</v>
      </c>
      <c r="D33">
        <v>1</v>
      </c>
      <c r="E33">
        <v>2</v>
      </c>
      <c r="F33">
        <v>8</v>
      </c>
      <c r="G33" s="4">
        <v>0.1096</v>
      </c>
      <c r="H33" s="1">
        <v>2.9861111111111113E-3</v>
      </c>
      <c r="I33" s="1">
        <v>2.6620370370370372E-4</v>
      </c>
      <c r="J33" s="1">
        <v>2.2916666666666667E-3</v>
      </c>
    </row>
    <row r="34" spans="1:10" x14ac:dyDescent="0.3">
      <c r="A34" t="s">
        <v>55</v>
      </c>
      <c r="B34">
        <v>101</v>
      </c>
      <c r="C34">
        <v>8</v>
      </c>
      <c r="D34">
        <v>2</v>
      </c>
      <c r="E34">
        <v>4</v>
      </c>
      <c r="F34">
        <v>12</v>
      </c>
      <c r="G34" s="4">
        <v>0.1188</v>
      </c>
      <c r="H34" s="1">
        <v>3.3449074074074076E-3</v>
      </c>
      <c r="I34" s="1">
        <v>3.3564814814814812E-4</v>
      </c>
      <c r="J34" s="1">
        <v>3.5300925925925925E-3</v>
      </c>
    </row>
    <row r="35" spans="1:10" x14ac:dyDescent="0.3">
      <c r="A35" t="s">
        <v>56</v>
      </c>
      <c r="B35">
        <v>77</v>
      </c>
      <c r="C35">
        <v>5</v>
      </c>
      <c r="D35">
        <v>1</v>
      </c>
      <c r="E35">
        <v>2</v>
      </c>
      <c r="F35">
        <v>8</v>
      </c>
      <c r="G35" s="4">
        <v>0.10390000000000001</v>
      </c>
      <c r="H35" s="1">
        <v>3.0208333333333333E-3</v>
      </c>
      <c r="I35" s="1">
        <v>2.7777777777777778E-4</v>
      </c>
      <c r="J35" s="1">
        <v>2.4537037037037036E-3</v>
      </c>
    </row>
    <row r="36" spans="1:10" x14ac:dyDescent="0.3">
      <c r="A36" t="s">
        <v>57</v>
      </c>
      <c r="B36">
        <v>108</v>
      </c>
      <c r="C36">
        <v>9</v>
      </c>
      <c r="D36">
        <v>3</v>
      </c>
      <c r="E36">
        <v>4</v>
      </c>
      <c r="F36">
        <v>13</v>
      </c>
      <c r="G36" s="4">
        <v>0.12039999999999999</v>
      </c>
      <c r="H36" s="1">
        <v>3.425925925925926E-3</v>
      </c>
      <c r="I36" s="1">
        <v>3.5879629629629629E-4</v>
      </c>
      <c r="J36" s="1">
        <v>3.8194444444444443E-3</v>
      </c>
    </row>
    <row r="37" spans="1:10" x14ac:dyDescent="0.3">
      <c r="A37" t="s">
        <v>58</v>
      </c>
      <c r="B37">
        <v>86</v>
      </c>
      <c r="C37">
        <v>6</v>
      </c>
      <c r="D37">
        <v>2</v>
      </c>
      <c r="E37">
        <v>3</v>
      </c>
      <c r="F37">
        <v>10</v>
      </c>
      <c r="G37" s="4">
        <v>0.1163</v>
      </c>
      <c r="H37" s="1">
        <v>3.1828703703703702E-3</v>
      </c>
      <c r="I37" s="1">
        <v>3.0092592592592595E-4</v>
      </c>
      <c r="J37" s="1">
        <v>2.8703703703703703E-3</v>
      </c>
    </row>
    <row r="38" spans="1:10" x14ac:dyDescent="0.3">
      <c r="A38" t="s">
        <v>59</v>
      </c>
      <c r="B38">
        <v>75</v>
      </c>
      <c r="C38">
        <v>5</v>
      </c>
      <c r="D38">
        <v>1</v>
      </c>
      <c r="E38">
        <v>2</v>
      </c>
      <c r="F38">
        <v>8</v>
      </c>
      <c r="G38" s="4">
        <v>0.1067</v>
      </c>
      <c r="H38" s="1">
        <v>2.9976851851851853E-3</v>
      </c>
      <c r="I38" s="1">
        <v>2.6620370370370372E-4</v>
      </c>
      <c r="J38" s="1">
        <v>2.3726851851851851E-3</v>
      </c>
    </row>
    <row r="39" spans="1:10" x14ac:dyDescent="0.3">
      <c r="A39" t="s">
        <v>60</v>
      </c>
      <c r="B39">
        <v>103</v>
      </c>
      <c r="C39">
        <v>8</v>
      </c>
      <c r="D39">
        <v>3</v>
      </c>
      <c r="E39">
        <v>4</v>
      </c>
      <c r="F39">
        <v>12</v>
      </c>
      <c r="G39" s="4">
        <v>0.11650000000000001</v>
      </c>
      <c r="H39" s="1">
        <v>3.3796296296296296E-3</v>
      </c>
      <c r="I39" s="1">
        <v>3.4722222222222224E-4</v>
      </c>
      <c r="J39" s="1">
        <v>3.6111111111111109E-3</v>
      </c>
    </row>
    <row r="40" spans="1:10" x14ac:dyDescent="0.3">
      <c r="A40" t="s">
        <v>61</v>
      </c>
      <c r="B40">
        <v>80</v>
      </c>
      <c r="C40">
        <v>6</v>
      </c>
      <c r="D40">
        <v>1</v>
      </c>
      <c r="E40">
        <v>2</v>
      </c>
      <c r="F40">
        <v>9</v>
      </c>
      <c r="G40" s="4">
        <v>0.1125</v>
      </c>
      <c r="H40" s="1">
        <v>3.0902777777777777E-3</v>
      </c>
      <c r="I40" s="1">
        <v>2.8935185185185184E-4</v>
      </c>
      <c r="J40" s="1">
        <v>2.6041666666666665E-3</v>
      </c>
    </row>
    <row r="41" spans="1:10" x14ac:dyDescent="0.3">
      <c r="A41" t="s">
        <v>62</v>
      </c>
      <c r="B41">
        <v>110</v>
      </c>
      <c r="C41">
        <v>9</v>
      </c>
      <c r="D41">
        <v>3</v>
      </c>
      <c r="E41">
        <v>5</v>
      </c>
      <c r="F41">
        <v>14</v>
      </c>
      <c r="G41" s="4">
        <v>0.1273</v>
      </c>
      <c r="H41" s="1">
        <v>3.449074074074074E-3</v>
      </c>
      <c r="I41" s="1">
        <v>3.7037037037037035E-4</v>
      </c>
      <c r="J41" s="1">
        <v>3.9930555555555552E-3</v>
      </c>
    </row>
    <row r="42" spans="1:10" x14ac:dyDescent="0.3">
      <c r="A42" t="s">
        <v>63</v>
      </c>
      <c r="B42">
        <v>71</v>
      </c>
      <c r="C42">
        <v>5</v>
      </c>
      <c r="D42">
        <v>1</v>
      </c>
      <c r="E42">
        <v>2</v>
      </c>
      <c r="F42">
        <v>7</v>
      </c>
      <c r="G42" s="4">
        <v>9.8599999999999993E-2</v>
      </c>
      <c r="H42" s="1">
        <v>2.9513888888888888E-3</v>
      </c>
      <c r="I42" s="1">
        <v>2.5462962962962961E-4</v>
      </c>
      <c r="J42" s="1">
        <v>2.1412037037037038E-3</v>
      </c>
    </row>
    <row r="43" spans="1:10" x14ac:dyDescent="0.3">
      <c r="A43" t="s">
        <v>64</v>
      </c>
      <c r="B43">
        <v>99</v>
      </c>
      <c r="C43">
        <v>8</v>
      </c>
      <c r="D43">
        <v>2</v>
      </c>
      <c r="E43">
        <v>4</v>
      </c>
      <c r="F43">
        <v>11</v>
      </c>
      <c r="G43" s="4">
        <v>0.1111</v>
      </c>
      <c r="H43" s="1">
        <v>3.3217592592592591E-3</v>
      </c>
      <c r="I43" s="1">
        <v>3.3564814814814812E-4</v>
      </c>
      <c r="J43" s="1">
        <v>3.414351851851852E-3</v>
      </c>
    </row>
    <row r="44" spans="1:10" x14ac:dyDescent="0.3">
      <c r="A44" t="s">
        <v>65</v>
      </c>
      <c r="B44">
        <v>78</v>
      </c>
      <c r="C44">
        <v>5</v>
      </c>
      <c r="D44">
        <v>1</v>
      </c>
      <c r="E44">
        <v>2</v>
      </c>
      <c r="F44">
        <v>8</v>
      </c>
      <c r="G44" s="4">
        <v>0.1026</v>
      </c>
      <c r="H44" s="1">
        <v>3.0324074074074073E-3</v>
      </c>
      <c r="I44" s="1">
        <v>2.7777777777777778E-4</v>
      </c>
      <c r="J44" s="1">
        <v>2.5000000000000001E-3</v>
      </c>
    </row>
    <row r="45" spans="1:10" x14ac:dyDescent="0.3">
      <c r="A45" t="s">
        <v>66</v>
      </c>
      <c r="B45">
        <v>106</v>
      </c>
      <c r="C45">
        <v>8</v>
      </c>
      <c r="D45">
        <v>3</v>
      </c>
      <c r="E45">
        <v>4</v>
      </c>
      <c r="F45">
        <v>13</v>
      </c>
      <c r="G45" s="4">
        <v>0.1226</v>
      </c>
      <c r="H45" s="1">
        <v>3.3912037037037036E-3</v>
      </c>
      <c r="I45" s="1">
        <v>3.5879629629629629E-4</v>
      </c>
      <c r="J45" s="1">
        <v>3.6805555555555554E-3</v>
      </c>
    </row>
    <row r="46" spans="1:10" x14ac:dyDescent="0.3">
      <c r="A46" t="s">
        <v>67</v>
      </c>
      <c r="B46">
        <v>83</v>
      </c>
      <c r="C46">
        <v>6</v>
      </c>
      <c r="D46">
        <v>2</v>
      </c>
      <c r="E46">
        <v>3</v>
      </c>
      <c r="F46">
        <v>9</v>
      </c>
      <c r="G46" s="4">
        <v>0.1084</v>
      </c>
      <c r="H46" s="1">
        <v>3.1134259259259257E-3</v>
      </c>
      <c r="I46" s="1">
        <v>2.8935185185185184E-4</v>
      </c>
      <c r="J46" s="1">
        <v>2.685185185185185E-3</v>
      </c>
    </row>
    <row r="47" spans="1:10" x14ac:dyDescent="0.3">
      <c r="A47" t="s">
        <v>68</v>
      </c>
      <c r="B47">
        <v>101</v>
      </c>
      <c r="C47">
        <v>8</v>
      </c>
      <c r="D47">
        <v>2</v>
      </c>
      <c r="E47">
        <v>4</v>
      </c>
      <c r="F47">
        <v>12</v>
      </c>
      <c r="G47" s="4">
        <v>0.1188</v>
      </c>
      <c r="H47" s="1">
        <v>3.3333333333333335E-3</v>
      </c>
      <c r="I47" s="1">
        <v>3.3564814814814812E-4</v>
      </c>
      <c r="J47" s="1">
        <v>3.4953703703703705E-3</v>
      </c>
    </row>
    <row r="48" spans="1:10" x14ac:dyDescent="0.3">
      <c r="A48" t="s">
        <v>69</v>
      </c>
      <c r="B48">
        <v>76</v>
      </c>
      <c r="C48">
        <v>5</v>
      </c>
      <c r="D48">
        <v>1</v>
      </c>
      <c r="E48">
        <v>2</v>
      </c>
      <c r="F48">
        <v>8</v>
      </c>
      <c r="G48" s="4">
        <v>0.1053</v>
      </c>
      <c r="H48" s="1">
        <v>3.0092592592592593E-3</v>
      </c>
      <c r="I48" s="1">
        <v>2.7777777777777778E-4</v>
      </c>
      <c r="J48" s="1">
        <v>2.4074074074074076E-3</v>
      </c>
    </row>
    <row r="49" spans="1:10" x14ac:dyDescent="0.3">
      <c r="A49" t="s">
        <v>70</v>
      </c>
      <c r="B49">
        <v>104</v>
      </c>
      <c r="C49">
        <v>8</v>
      </c>
      <c r="D49">
        <v>3</v>
      </c>
      <c r="E49">
        <v>4</v>
      </c>
      <c r="F49">
        <v>12</v>
      </c>
      <c r="G49" s="4">
        <v>0.1154</v>
      </c>
      <c r="H49" s="1">
        <v>3.3796296296296296E-3</v>
      </c>
      <c r="I49" s="1">
        <v>3.4722222222222224E-4</v>
      </c>
      <c r="J49" s="1">
        <v>3.6805555555555554E-3</v>
      </c>
    </row>
    <row r="50" spans="1:10" x14ac:dyDescent="0.3">
      <c r="A50" t="s">
        <v>71</v>
      </c>
      <c r="B50">
        <v>81</v>
      </c>
      <c r="C50">
        <v>6</v>
      </c>
      <c r="D50">
        <v>1</v>
      </c>
      <c r="E50">
        <v>2</v>
      </c>
      <c r="F50">
        <v>9</v>
      </c>
      <c r="G50" s="4">
        <v>0.1111</v>
      </c>
      <c r="H50" s="1">
        <v>3.0902777777777777E-3</v>
      </c>
      <c r="I50" s="1">
        <v>2.8935185185185184E-4</v>
      </c>
      <c r="J50" s="1">
        <v>2.6157407407407405E-3</v>
      </c>
    </row>
    <row r="51" spans="1:10" x14ac:dyDescent="0.3">
      <c r="A51" t="s">
        <v>72</v>
      </c>
      <c r="B51">
        <v>111</v>
      </c>
      <c r="C51">
        <v>9</v>
      </c>
      <c r="D51">
        <v>3</v>
      </c>
      <c r="E51">
        <v>5</v>
      </c>
      <c r="F51">
        <v>14</v>
      </c>
      <c r="G51" s="4">
        <v>0.12609999999999999</v>
      </c>
      <c r="H51" s="1">
        <v>3.460648148148148E-3</v>
      </c>
      <c r="I51" s="1">
        <v>3.7037037037037035E-4</v>
      </c>
      <c r="J51" s="1">
        <v>4.1087962962962962E-3</v>
      </c>
    </row>
    <row r="52" spans="1:10" x14ac:dyDescent="0.3">
      <c r="A52" t="s">
        <v>73</v>
      </c>
      <c r="B52">
        <v>72</v>
      </c>
      <c r="C52">
        <v>5</v>
      </c>
      <c r="D52">
        <v>1</v>
      </c>
      <c r="E52">
        <v>2</v>
      </c>
      <c r="F52">
        <v>7</v>
      </c>
      <c r="G52" s="4">
        <v>9.7199999999999995E-2</v>
      </c>
      <c r="H52" s="1">
        <v>2.9513888888888888E-3</v>
      </c>
      <c r="I52" s="1">
        <v>2.5462962962962961E-4</v>
      </c>
      <c r="J52" s="1">
        <v>2.1759259259259258E-3</v>
      </c>
    </row>
    <row r="53" spans="1:10" x14ac:dyDescent="0.3">
      <c r="A53" t="s">
        <v>74</v>
      </c>
      <c r="B53">
        <v>96</v>
      </c>
      <c r="C53">
        <v>7</v>
      </c>
      <c r="D53">
        <v>2</v>
      </c>
      <c r="E53">
        <v>3</v>
      </c>
      <c r="F53">
        <v>10</v>
      </c>
      <c r="G53" s="4">
        <v>0.1042</v>
      </c>
      <c r="H53" s="1">
        <v>3.1828703703703702E-3</v>
      </c>
      <c r="I53" s="1">
        <v>3.0092592592592595E-4</v>
      </c>
      <c r="J53" s="1">
        <v>2.9629629629629628E-3</v>
      </c>
    </row>
    <row r="54" spans="1:10" x14ac:dyDescent="0.3">
      <c r="A54" t="s">
        <v>75</v>
      </c>
      <c r="B54">
        <v>79</v>
      </c>
      <c r="C54">
        <v>6</v>
      </c>
      <c r="D54">
        <v>2</v>
      </c>
      <c r="E54">
        <v>3</v>
      </c>
      <c r="F54">
        <v>9</v>
      </c>
      <c r="G54" s="4">
        <v>0.1139</v>
      </c>
      <c r="H54" s="1">
        <v>3.1134259259259257E-3</v>
      </c>
      <c r="I54" s="1">
        <v>2.8935185185185184E-4</v>
      </c>
      <c r="J54" s="1">
        <v>2.685185185185185E-3</v>
      </c>
    </row>
    <row r="55" spans="1:10" x14ac:dyDescent="0.3">
      <c r="A55" t="s">
        <v>76</v>
      </c>
      <c r="B55">
        <v>108</v>
      </c>
      <c r="C55">
        <v>8</v>
      </c>
      <c r="D55">
        <v>3</v>
      </c>
      <c r="E55">
        <v>4</v>
      </c>
      <c r="F55">
        <v>13</v>
      </c>
      <c r="G55" s="4">
        <v>0.12039999999999999</v>
      </c>
      <c r="H55" s="1">
        <v>3.414351851851852E-3</v>
      </c>
      <c r="I55" s="1">
        <v>3.5879629629629629E-4</v>
      </c>
      <c r="J55" s="1">
        <v>3.7962962962962963E-3</v>
      </c>
    </row>
    <row r="56" spans="1:10" x14ac:dyDescent="0.3">
      <c r="A56" t="s">
        <v>77</v>
      </c>
      <c r="B56">
        <v>84</v>
      </c>
      <c r="C56">
        <v>6</v>
      </c>
      <c r="D56">
        <v>2</v>
      </c>
      <c r="E56">
        <v>3</v>
      </c>
      <c r="F56">
        <v>9</v>
      </c>
      <c r="G56" s="4">
        <v>0.1071</v>
      </c>
      <c r="H56" s="1">
        <v>3.1250000000000002E-3</v>
      </c>
      <c r="I56" s="1">
        <v>2.8935185185185184E-4</v>
      </c>
      <c r="J56" s="1">
        <v>2.7546296296296294E-3</v>
      </c>
    </row>
    <row r="57" spans="1:10" x14ac:dyDescent="0.3">
      <c r="A57" t="s">
        <v>78</v>
      </c>
      <c r="B57">
        <v>88</v>
      </c>
      <c r="C57">
        <v>6</v>
      </c>
      <c r="D57">
        <v>2</v>
      </c>
      <c r="E57">
        <v>3</v>
      </c>
      <c r="F57">
        <v>10</v>
      </c>
      <c r="G57" s="4">
        <v>0.11360000000000001</v>
      </c>
      <c r="H57" s="1">
        <v>3.2523148148148147E-3</v>
      </c>
      <c r="I57" s="1">
        <v>3.1250000000000001E-4</v>
      </c>
      <c r="J57" s="1">
        <v>2.9166666666666668E-3</v>
      </c>
    </row>
    <row r="58" spans="1:10" x14ac:dyDescent="0.3">
      <c r="A58" t="s">
        <v>79</v>
      </c>
      <c r="B58">
        <v>77</v>
      </c>
      <c r="C58">
        <v>5</v>
      </c>
      <c r="D58">
        <v>1</v>
      </c>
      <c r="E58">
        <v>2</v>
      </c>
      <c r="F58">
        <v>8</v>
      </c>
      <c r="G58" s="4">
        <v>0.10390000000000001</v>
      </c>
      <c r="H58" s="1">
        <v>3.0208333333333333E-3</v>
      </c>
      <c r="I58" s="1">
        <v>2.7777777777777778E-4</v>
      </c>
      <c r="J58" s="1">
        <v>2.476851851851852E-3</v>
      </c>
    </row>
    <row r="59" spans="1:10" x14ac:dyDescent="0.3">
      <c r="A59" t="s">
        <v>80</v>
      </c>
      <c r="B59">
        <v>102</v>
      </c>
      <c r="C59">
        <v>8</v>
      </c>
      <c r="D59">
        <v>3</v>
      </c>
      <c r="E59">
        <v>4</v>
      </c>
      <c r="F59">
        <v>12</v>
      </c>
      <c r="G59" s="4">
        <v>0.1176</v>
      </c>
      <c r="H59" s="1">
        <v>3.3564814814814816E-3</v>
      </c>
      <c r="I59" s="1">
        <v>3.4722222222222224E-4</v>
      </c>
      <c r="J59" s="1">
        <v>3.5879629629629629E-3</v>
      </c>
    </row>
    <row r="60" spans="1:10" x14ac:dyDescent="0.3">
      <c r="A60" t="s">
        <v>81</v>
      </c>
      <c r="B60">
        <v>82</v>
      </c>
      <c r="C60">
        <v>6</v>
      </c>
      <c r="D60">
        <v>1</v>
      </c>
      <c r="E60">
        <v>2</v>
      </c>
      <c r="F60">
        <v>9</v>
      </c>
      <c r="G60" s="4">
        <v>0.10979999999999999</v>
      </c>
      <c r="H60" s="1">
        <v>3.1018518518518517E-3</v>
      </c>
      <c r="I60" s="1">
        <v>2.8935185185185184E-4</v>
      </c>
      <c r="J60" s="1">
        <v>2.638888888888889E-3</v>
      </c>
    </row>
    <row r="61" spans="1:10" x14ac:dyDescent="0.3">
      <c r="A61" t="s">
        <v>82</v>
      </c>
      <c r="B61">
        <v>109</v>
      </c>
      <c r="C61">
        <v>9</v>
      </c>
      <c r="D61">
        <v>3</v>
      </c>
      <c r="E61">
        <v>4</v>
      </c>
      <c r="F61">
        <v>13</v>
      </c>
      <c r="G61" s="4">
        <v>0.1193</v>
      </c>
      <c r="H61" s="1">
        <v>3.425925925925926E-3</v>
      </c>
      <c r="I61" s="1">
        <v>3.5879629629629629E-4</v>
      </c>
      <c r="J61" s="1">
        <v>3.8888888888888888E-3</v>
      </c>
    </row>
    <row r="62" spans="1:10" x14ac:dyDescent="0.3">
      <c r="A62" t="s">
        <v>83</v>
      </c>
      <c r="B62">
        <v>73</v>
      </c>
      <c r="C62">
        <v>5</v>
      </c>
      <c r="D62">
        <v>1</v>
      </c>
      <c r="E62">
        <v>2</v>
      </c>
      <c r="F62">
        <v>8</v>
      </c>
      <c r="G62" s="4">
        <v>0.1096</v>
      </c>
      <c r="H62" s="1">
        <v>2.9745370370370373E-3</v>
      </c>
      <c r="I62" s="1">
        <v>2.6620370370370372E-4</v>
      </c>
      <c r="J62" s="1">
        <v>2.2453703703703702E-3</v>
      </c>
    </row>
    <row r="63" spans="1:10" x14ac:dyDescent="0.3">
      <c r="A63" t="s">
        <v>84</v>
      </c>
      <c r="B63">
        <v>95</v>
      </c>
      <c r="C63">
        <v>7</v>
      </c>
      <c r="D63">
        <v>2</v>
      </c>
      <c r="E63">
        <v>3</v>
      </c>
      <c r="F63">
        <v>10</v>
      </c>
      <c r="G63" s="4">
        <v>0.1053</v>
      </c>
      <c r="H63" s="1">
        <v>3.1944444444444446E-3</v>
      </c>
      <c r="I63" s="1">
        <v>3.1250000000000001E-4</v>
      </c>
      <c r="J63" s="1">
        <v>3.0092592592592593E-3</v>
      </c>
    </row>
    <row r="64" spans="1:10" x14ac:dyDescent="0.3">
      <c r="A64" t="s">
        <v>85</v>
      </c>
      <c r="B64">
        <v>78</v>
      </c>
      <c r="C64">
        <v>5</v>
      </c>
      <c r="D64">
        <v>1</v>
      </c>
      <c r="E64">
        <v>2</v>
      </c>
      <c r="F64">
        <v>8</v>
      </c>
      <c r="G64" s="4">
        <v>0.1026</v>
      </c>
      <c r="H64" s="1">
        <v>3.0324074074074073E-3</v>
      </c>
      <c r="I64" s="1">
        <v>2.7777777777777778E-4</v>
      </c>
      <c r="J64" s="1">
        <v>2.5000000000000001E-3</v>
      </c>
    </row>
    <row r="65" spans="1:10" x14ac:dyDescent="0.3">
      <c r="A65" t="s">
        <v>86</v>
      </c>
      <c r="B65">
        <v>107</v>
      </c>
      <c r="C65">
        <v>8</v>
      </c>
      <c r="D65">
        <v>3</v>
      </c>
      <c r="E65">
        <v>4</v>
      </c>
      <c r="F65">
        <v>13</v>
      </c>
      <c r="G65" s="4">
        <v>0.1215</v>
      </c>
      <c r="H65" s="1">
        <v>3.4027777777777776E-3</v>
      </c>
      <c r="I65" s="1">
        <v>3.5879629629629629E-4</v>
      </c>
      <c r="J65" s="1">
        <v>3.7499999999999999E-3</v>
      </c>
    </row>
    <row r="66" spans="1:10" x14ac:dyDescent="0.3">
      <c r="A66" t="s">
        <v>87</v>
      </c>
      <c r="B66">
        <v>83</v>
      </c>
      <c r="C66">
        <v>6</v>
      </c>
      <c r="D66">
        <v>2</v>
      </c>
      <c r="E66">
        <v>3</v>
      </c>
      <c r="F66">
        <v>9</v>
      </c>
      <c r="G66" s="4">
        <v>0.1084</v>
      </c>
      <c r="H66" s="1">
        <v>3.1134259259259257E-3</v>
      </c>
      <c r="I66" s="1">
        <v>2.8935185185185184E-4</v>
      </c>
      <c r="J66" s="1">
        <v>2.685185185185185E-3</v>
      </c>
    </row>
    <row r="67" spans="1:10" x14ac:dyDescent="0.3">
      <c r="A67" t="s">
        <v>88</v>
      </c>
      <c r="B67">
        <v>100</v>
      </c>
      <c r="C67">
        <v>8</v>
      </c>
      <c r="D67">
        <v>2</v>
      </c>
      <c r="E67">
        <v>4</v>
      </c>
      <c r="F67">
        <v>12</v>
      </c>
      <c r="G67" s="4">
        <v>0.12</v>
      </c>
      <c r="H67" s="1">
        <v>3.3333333333333335E-3</v>
      </c>
      <c r="I67" s="1">
        <v>3.3564814814814812E-4</v>
      </c>
      <c r="J67" s="1">
        <v>3.4953703703703705E-3</v>
      </c>
    </row>
    <row r="68" spans="1:10" x14ac:dyDescent="0.3">
      <c r="A68" t="s">
        <v>89</v>
      </c>
      <c r="B68">
        <v>83</v>
      </c>
      <c r="C68">
        <v>6</v>
      </c>
      <c r="D68">
        <v>2</v>
      </c>
      <c r="E68">
        <v>3</v>
      </c>
      <c r="F68">
        <v>9</v>
      </c>
      <c r="G68" s="4">
        <v>0.1084</v>
      </c>
      <c r="H68" s="1">
        <v>3.1134259259259257E-3</v>
      </c>
      <c r="I68" s="1">
        <v>2.8935185185185184E-4</v>
      </c>
      <c r="J68" s="1">
        <v>2.685185185185185E-3</v>
      </c>
    </row>
    <row r="69" spans="1:10" x14ac:dyDescent="0.3">
      <c r="A69" t="s">
        <v>90</v>
      </c>
      <c r="B69">
        <v>100</v>
      </c>
      <c r="C69">
        <v>8</v>
      </c>
      <c r="D69">
        <v>2</v>
      </c>
      <c r="E69">
        <v>4</v>
      </c>
      <c r="F69">
        <v>12</v>
      </c>
      <c r="G69" s="4">
        <v>0.12</v>
      </c>
      <c r="H69" s="1">
        <v>3.3217592592592591E-3</v>
      </c>
      <c r="I69" s="1">
        <v>3.3564814814814812E-4</v>
      </c>
      <c r="J69" s="1">
        <v>3.472222222222222E-3</v>
      </c>
    </row>
    <row r="70" spans="1:10" x14ac:dyDescent="0.3">
      <c r="A70" t="s">
        <v>91</v>
      </c>
      <c r="B70">
        <v>75</v>
      </c>
      <c r="C70">
        <v>5</v>
      </c>
      <c r="D70">
        <v>1</v>
      </c>
      <c r="E70">
        <v>2</v>
      </c>
      <c r="F70">
        <v>8</v>
      </c>
      <c r="G70" s="4">
        <v>0.1067</v>
      </c>
      <c r="H70" s="1">
        <v>2.9861111111111113E-3</v>
      </c>
      <c r="I70" s="1">
        <v>2.6620370370370372E-4</v>
      </c>
      <c r="J70" s="1">
        <v>2.3148148148148147E-3</v>
      </c>
    </row>
    <row r="71" spans="1:10" x14ac:dyDescent="0.3">
      <c r="A71" t="s">
        <v>92</v>
      </c>
      <c r="B71">
        <v>103</v>
      </c>
      <c r="C71">
        <v>8</v>
      </c>
      <c r="D71">
        <v>3</v>
      </c>
      <c r="E71">
        <v>4</v>
      </c>
      <c r="F71">
        <v>12</v>
      </c>
      <c r="G71" s="4">
        <v>0.11650000000000001</v>
      </c>
      <c r="H71" s="1">
        <v>3.3680555555555556E-3</v>
      </c>
      <c r="I71" s="1">
        <v>3.4722222222222224E-4</v>
      </c>
      <c r="J71" s="1">
        <v>3.6111111111111109E-3</v>
      </c>
    </row>
    <row r="72" spans="1:10" x14ac:dyDescent="0.3">
      <c r="A72" t="s">
        <v>93</v>
      </c>
      <c r="B72">
        <v>80</v>
      </c>
      <c r="C72">
        <v>6</v>
      </c>
      <c r="D72">
        <v>1</v>
      </c>
      <c r="E72">
        <v>2</v>
      </c>
      <c r="F72">
        <v>9</v>
      </c>
      <c r="G72" s="4">
        <v>0.1125</v>
      </c>
      <c r="H72" s="1">
        <v>3.0671296296296297E-3</v>
      </c>
      <c r="I72" s="1">
        <v>2.8935185185185184E-4</v>
      </c>
      <c r="J72" s="1">
        <v>2.5694444444444445E-3</v>
      </c>
    </row>
    <row r="73" spans="1:10" x14ac:dyDescent="0.3">
      <c r="A73" t="s">
        <v>94</v>
      </c>
      <c r="B73">
        <v>110</v>
      </c>
      <c r="C73">
        <v>9</v>
      </c>
      <c r="D73">
        <v>3</v>
      </c>
      <c r="E73">
        <v>5</v>
      </c>
      <c r="F73">
        <v>14</v>
      </c>
      <c r="G73" s="4">
        <v>0.1273</v>
      </c>
      <c r="H73" s="1">
        <v>3.449074074074074E-3</v>
      </c>
      <c r="I73" s="1">
        <v>3.7037037037037035E-4</v>
      </c>
      <c r="J73" s="1">
        <v>4.0277777777777777E-3</v>
      </c>
    </row>
    <row r="74" spans="1:10" x14ac:dyDescent="0.3">
      <c r="A74" t="s">
        <v>95</v>
      </c>
      <c r="B74">
        <v>74</v>
      </c>
      <c r="C74">
        <v>5</v>
      </c>
      <c r="D74">
        <v>1</v>
      </c>
      <c r="E74">
        <v>2</v>
      </c>
      <c r="F74">
        <v>8</v>
      </c>
      <c r="G74" s="4">
        <v>0.1081</v>
      </c>
      <c r="H74" s="1">
        <v>2.9629629629629628E-3</v>
      </c>
      <c r="I74" s="1">
        <v>2.6620370370370372E-4</v>
      </c>
      <c r="J74" s="1">
        <v>2.2222222222222222E-3</v>
      </c>
    </row>
    <row r="75" spans="1:10" x14ac:dyDescent="0.3">
      <c r="A75" t="s">
        <v>96</v>
      </c>
      <c r="B75">
        <v>94</v>
      </c>
      <c r="C75">
        <v>7</v>
      </c>
      <c r="D75">
        <v>2</v>
      </c>
      <c r="E75">
        <v>3</v>
      </c>
      <c r="F75">
        <v>10</v>
      </c>
      <c r="G75" s="4">
        <v>0.10639999999999999</v>
      </c>
      <c r="H75" s="1">
        <v>3.1712962962962962E-3</v>
      </c>
      <c r="I75" s="1">
        <v>3.0092592592592595E-4</v>
      </c>
      <c r="J75" s="1">
        <v>2.9629629629629628E-3</v>
      </c>
    </row>
    <row r="76" spans="1:10" x14ac:dyDescent="0.3">
      <c r="A76" t="s">
        <v>97</v>
      </c>
      <c r="B76">
        <v>77</v>
      </c>
      <c r="C76">
        <v>5</v>
      </c>
      <c r="D76">
        <v>1</v>
      </c>
      <c r="E76">
        <v>2</v>
      </c>
      <c r="F76">
        <v>8</v>
      </c>
      <c r="G76" s="4">
        <v>0.10390000000000001</v>
      </c>
      <c r="H76" s="1">
        <v>3.0092592592592593E-3</v>
      </c>
      <c r="I76" s="1">
        <v>2.7777777777777778E-4</v>
      </c>
      <c r="J76" s="1">
        <v>2.4074074074074076E-3</v>
      </c>
    </row>
    <row r="77" spans="1:10" x14ac:dyDescent="0.3">
      <c r="A77" t="s">
        <v>98</v>
      </c>
      <c r="B77">
        <v>106</v>
      </c>
      <c r="C77">
        <v>8</v>
      </c>
      <c r="D77">
        <v>3</v>
      </c>
      <c r="E77">
        <v>4</v>
      </c>
      <c r="F77">
        <v>13</v>
      </c>
      <c r="G77" s="4">
        <v>0.1226</v>
      </c>
      <c r="H77" s="1">
        <v>3.3912037037037036E-3</v>
      </c>
      <c r="I77" s="1">
        <v>3.5879629629629629E-4</v>
      </c>
      <c r="J77" s="1">
        <v>3.7037037037037038E-3</v>
      </c>
    </row>
    <row r="78" spans="1:10" x14ac:dyDescent="0.3">
      <c r="A78" t="s">
        <v>99</v>
      </c>
      <c r="B78">
        <v>82</v>
      </c>
      <c r="C78">
        <v>6</v>
      </c>
      <c r="D78">
        <v>2</v>
      </c>
      <c r="E78">
        <v>3</v>
      </c>
      <c r="F78">
        <v>9</v>
      </c>
      <c r="G78" s="4">
        <v>0.10979999999999999</v>
      </c>
      <c r="H78" s="1">
        <v>3.0902777777777777E-3</v>
      </c>
      <c r="I78" s="1">
        <v>2.8935185185185184E-4</v>
      </c>
      <c r="J78" s="1">
        <v>2.638888888888889E-3</v>
      </c>
    </row>
    <row r="79" spans="1:10" x14ac:dyDescent="0.3">
      <c r="A79" t="s">
        <v>100</v>
      </c>
      <c r="B79">
        <v>99</v>
      </c>
      <c r="C79">
        <v>8</v>
      </c>
      <c r="D79">
        <v>2</v>
      </c>
      <c r="E79">
        <v>4</v>
      </c>
      <c r="F79">
        <v>11</v>
      </c>
      <c r="G79" s="4">
        <v>0.1111</v>
      </c>
      <c r="H79" s="1">
        <v>3.3101851851851851E-3</v>
      </c>
      <c r="I79" s="1">
        <v>3.3564814814814812E-4</v>
      </c>
      <c r="J79" s="1">
        <v>3.425925925925926E-3</v>
      </c>
    </row>
    <row r="80" spans="1:10" x14ac:dyDescent="0.3">
      <c r="A80" t="s">
        <v>101</v>
      </c>
      <c r="B80">
        <v>76</v>
      </c>
      <c r="C80">
        <v>5</v>
      </c>
      <c r="D80">
        <v>1</v>
      </c>
      <c r="E80">
        <v>2</v>
      </c>
      <c r="F80">
        <v>8</v>
      </c>
      <c r="G80" s="4">
        <v>0.1053</v>
      </c>
      <c r="H80" s="1">
        <v>2.9976851851851853E-3</v>
      </c>
      <c r="I80" s="1">
        <v>2.6620370370370372E-4</v>
      </c>
      <c r="J80" s="1">
        <v>2.3611111111111111E-3</v>
      </c>
    </row>
    <row r="81" spans="1:10" x14ac:dyDescent="0.3">
      <c r="A81" t="s">
        <v>102</v>
      </c>
      <c r="B81">
        <v>108</v>
      </c>
      <c r="C81">
        <v>9</v>
      </c>
      <c r="D81">
        <v>3</v>
      </c>
      <c r="E81">
        <v>4</v>
      </c>
      <c r="F81">
        <v>13</v>
      </c>
      <c r="G81" s="4">
        <v>0.12039999999999999</v>
      </c>
      <c r="H81" s="1">
        <v>3.414351851851852E-3</v>
      </c>
      <c r="I81" s="1">
        <v>3.5879629629629629E-4</v>
      </c>
      <c r="J81" s="1">
        <v>3.8425925925925928E-3</v>
      </c>
    </row>
    <row r="82" spans="1:10" x14ac:dyDescent="0.3">
      <c r="A82" t="s">
        <v>103</v>
      </c>
      <c r="B82">
        <v>84</v>
      </c>
      <c r="C82">
        <v>6</v>
      </c>
      <c r="D82">
        <v>2</v>
      </c>
      <c r="E82">
        <v>3</v>
      </c>
      <c r="F82">
        <v>9</v>
      </c>
      <c r="G82" s="4">
        <v>0.1071</v>
      </c>
      <c r="H82" s="1">
        <v>3.1250000000000002E-3</v>
      </c>
      <c r="I82" s="1">
        <v>2.8935185185185184E-4</v>
      </c>
      <c r="J82" s="1">
        <v>2.7314814814814814E-3</v>
      </c>
    </row>
    <row r="83" spans="1:10" x14ac:dyDescent="0.3">
      <c r="A83" t="s">
        <v>104</v>
      </c>
      <c r="B83">
        <v>101</v>
      </c>
      <c r="C83">
        <v>8</v>
      </c>
      <c r="D83">
        <v>2</v>
      </c>
      <c r="E83">
        <v>4</v>
      </c>
      <c r="F83">
        <v>12</v>
      </c>
      <c r="G83" s="4">
        <v>0.1188</v>
      </c>
      <c r="H83" s="1">
        <v>3.3449074074074076E-3</v>
      </c>
      <c r="I83" s="1">
        <v>3.3564814814814812E-4</v>
      </c>
      <c r="J83" s="1">
        <v>3.5300925925925925E-3</v>
      </c>
    </row>
    <row r="84" spans="1:10" x14ac:dyDescent="0.3">
      <c r="A84" t="s">
        <v>105</v>
      </c>
      <c r="B84">
        <v>78</v>
      </c>
      <c r="C84">
        <v>5</v>
      </c>
      <c r="D84">
        <v>1</v>
      </c>
      <c r="E84">
        <v>2</v>
      </c>
      <c r="F84">
        <v>8</v>
      </c>
      <c r="G84" s="4">
        <v>0.1026</v>
      </c>
      <c r="H84" s="1">
        <v>3.0324074074074073E-3</v>
      </c>
      <c r="I84" s="1">
        <v>2.7777777777777778E-4</v>
      </c>
      <c r="J84" s="1">
        <v>2.5000000000000001E-3</v>
      </c>
    </row>
    <row r="85" spans="1:10" x14ac:dyDescent="0.3">
      <c r="A85" t="s">
        <v>106</v>
      </c>
      <c r="B85">
        <v>105</v>
      </c>
      <c r="C85">
        <v>8</v>
      </c>
      <c r="D85">
        <v>3</v>
      </c>
      <c r="E85">
        <v>4</v>
      </c>
      <c r="F85">
        <v>13</v>
      </c>
      <c r="G85" s="4">
        <v>0.12379999999999999</v>
      </c>
      <c r="H85" s="1">
        <v>3.3796296296296296E-3</v>
      </c>
      <c r="I85" s="1">
        <v>3.5879629629629629E-4</v>
      </c>
      <c r="J85" s="1">
        <v>3.6805555555555554E-3</v>
      </c>
    </row>
    <row r="86" spans="1:10" x14ac:dyDescent="0.3">
      <c r="A86" t="s">
        <v>107</v>
      </c>
      <c r="B86">
        <v>81</v>
      </c>
      <c r="C86">
        <v>6</v>
      </c>
      <c r="D86">
        <v>1</v>
      </c>
      <c r="E86">
        <v>2</v>
      </c>
      <c r="F86">
        <v>9</v>
      </c>
      <c r="G86" s="4">
        <v>0.1111</v>
      </c>
      <c r="H86" s="1">
        <v>3.0787037037037037E-3</v>
      </c>
      <c r="I86" s="1">
        <v>2.8935185185185184E-4</v>
      </c>
      <c r="J86" s="1">
        <v>2.5925925925925925E-3</v>
      </c>
    </row>
    <row r="87" spans="1:10" x14ac:dyDescent="0.3">
      <c r="A87" t="s">
        <v>108</v>
      </c>
      <c r="B87">
        <v>103</v>
      </c>
      <c r="C87">
        <v>8</v>
      </c>
      <c r="D87">
        <v>3</v>
      </c>
      <c r="E87">
        <v>4</v>
      </c>
      <c r="F87">
        <v>12</v>
      </c>
      <c r="G87" s="4">
        <v>0.11650000000000001</v>
      </c>
      <c r="H87" s="1">
        <v>3.3564814814814816E-3</v>
      </c>
      <c r="I87" s="1">
        <v>3.4722222222222224E-4</v>
      </c>
      <c r="J87" s="1">
        <v>3.5879629629629629E-3</v>
      </c>
    </row>
    <row r="88" spans="1:10" x14ac:dyDescent="0.3">
      <c r="A88" t="s">
        <v>109</v>
      </c>
      <c r="B88">
        <v>79</v>
      </c>
      <c r="C88">
        <v>5</v>
      </c>
      <c r="D88">
        <v>1</v>
      </c>
      <c r="E88">
        <v>2</v>
      </c>
      <c r="F88">
        <v>8</v>
      </c>
      <c r="G88" s="4">
        <v>0.1013</v>
      </c>
      <c r="H88" s="1">
        <v>3.0439814814814813E-3</v>
      </c>
      <c r="I88" s="1">
        <v>2.7777777777777778E-4</v>
      </c>
      <c r="J88" s="1">
        <v>2.5231481481481481E-3</v>
      </c>
    </row>
    <row r="89" spans="1:10" x14ac:dyDescent="0.3">
      <c r="A89" t="s">
        <v>110</v>
      </c>
      <c r="B89">
        <v>107</v>
      </c>
      <c r="C89">
        <v>8</v>
      </c>
      <c r="D89">
        <v>3</v>
      </c>
      <c r="E89">
        <v>4</v>
      </c>
      <c r="F89">
        <v>13</v>
      </c>
      <c r="G89" s="4">
        <v>0.1215</v>
      </c>
      <c r="H89" s="1">
        <v>3.4027777777777776E-3</v>
      </c>
      <c r="I89" s="1">
        <v>3.5879629629629629E-4</v>
      </c>
      <c r="J89" s="1">
        <v>3.7499999999999999E-3</v>
      </c>
    </row>
    <row r="90" spans="1:10" x14ac:dyDescent="0.3">
      <c r="A90" t="s">
        <v>111</v>
      </c>
      <c r="B90">
        <v>80</v>
      </c>
      <c r="C90">
        <v>6</v>
      </c>
      <c r="D90">
        <v>1</v>
      </c>
      <c r="E90">
        <v>2</v>
      </c>
      <c r="F90">
        <v>9</v>
      </c>
      <c r="G90" s="4">
        <v>0.1125</v>
      </c>
      <c r="H90" s="1">
        <v>3.0671296296296297E-3</v>
      </c>
      <c r="I90" s="1">
        <v>2.8935185185185184E-4</v>
      </c>
      <c r="J90" s="1">
        <v>2.5694444444444445E-3</v>
      </c>
    </row>
    <row r="91" spans="1:10" x14ac:dyDescent="0.3">
      <c r="A91" t="s">
        <v>112</v>
      </c>
      <c r="B91">
        <v>111</v>
      </c>
      <c r="C91">
        <v>9</v>
      </c>
      <c r="D91">
        <v>3</v>
      </c>
      <c r="E91">
        <v>5</v>
      </c>
      <c r="F91">
        <v>14</v>
      </c>
      <c r="G91" s="4">
        <v>0.12609999999999999</v>
      </c>
      <c r="H91" s="1">
        <v>3.460648148148148E-3</v>
      </c>
      <c r="I91" s="1">
        <v>3.7037037037037035E-4</v>
      </c>
      <c r="J91" s="1">
        <v>4.1087962962962962E-3</v>
      </c>
    </row>
    <row r="92" spans="1:10" x14ac:dyDescent="0.3">
      <c r="A92" t="s">
        <v>113</v>
      </c>
      <c r="B92">
        <v>74</v>
      </c>
      <c r="C92">
        <v>5</v>
      </c>
      <c r="D92">
        <v>1</v>
      </c>
      <c r="E92">
        <v>2</v>
      </c>
      <c r="F92">
        <v>8</v>
      </c>
      <c r="G92" s="4">
        <v>0.1081</v>
      </c>
      <c r="H92" s="1">
        <v>2.9629629629629628E-3</v>
      </c>
      <c r="I92" s="1">
        <v>2.6620370370370372E-4</v>
      </c>
      <c r="J92" s="1">
        <v>2.2453703703703702E-3</v>
      </c>
    </row>
    <row r="93" spans="1:10" x14ac:dyDescent="0.3">
      <c r="A93" t="s">
        <v>114</v>
      </c>
      <c r="B93">
        <v>94</v>
      </c>
      <c r="C93">
        <v>7</v>
      </c>
      <c r="D93">
        <v>2</v>
      </c>
      <c r="E93">
        <v>3</v>
      </c>
      <c r="F93">
        <v>10</v>
      </c>
      <c r="G93" s="4">
        <v>0.10639999999999999</v>
      </c>
      <c r="H93" s="1">
        <v>3.1712962962962962E-3</v>
      </c>
      <c r="I93" s="1">
        <v>3.0092592592592595E-4</v>
      </c>
      <c r="J93" s="1">
        <v>2.9861111111111113E-3</v>
      </c>
    </row>
    <row r="94" spans="1:10" x14ac:dyDescent="0.3">
      <c r="A94" t="s">
        <v>115</v>
      </c>
      <c r="B94">
        <v>77</v>
      </c>
      <c r="C94">
        <v>5</v>
      </c>
      <c r="D94">
        <v>1</v>
      </c>
      <c r="E94">
        <v>2</v>
      </c>
      <c r="F94">
        <v>8</v>
      </c>
      <c r="G94" s="4">
        <v>0.10390000000000001</v>
      </c>
      <c r="H94" s="1">
        <v>3.0092592592592593E-3</v>
      </c>
      <c r="I94" s="1">
        <v>2.7777777777777778E-4</v>
      </c>
      <c r="J94" s="1">
        <v>2.4305555555555556E-3</v>
      </c>
    </row>
    <row r="95" spans="1:10" x14ac:dyDescent="0.3">
      <c r="A95" t="s">
        <v>116</v>
      </c>
      <c r="B95">
        <v>108</v>
      </c>
      <c r="C95">
        <v>8</v>
      </c>
      <c r="D95">
        <v>3</v>
      </c>
      <c r="E95">
        <v>4</v>
      </c>
      <c r="F95">
        <v>13</v>
      </c>
      <c r="G95" s="4">
        <v>0.12039999999999999</v>
      </c>
      <c r="H95" s="1">
        <v>3.414351851851852E-3</v>
      </c>
      <c r="I95" s="1">
        <v>3.5879629629629629E-4</v>
      </c>
      <c r="J95" s="1">
        <v>3.8194444444444443E-3</v>
      </c>
    </row>
    <row r="96" spans="1:10" x14ac:dyDescent="0.3">
      <c r="A96" t="s">
        <v>117</v>
      </c>
      <c r="B96">
        <v>84</v>
      </c>
      <c r="C96">
        <v>6</v>
      </c>
      <c r="D96">
        <v>2</v>
      </c>
      <c r="E96">
        <v>3</v>
      </c>
      <c r="F96">
        <v>9</v>
      </c>
      <c r="G96" s="4">
        <v>0.1071</v>
      </c>
      <c r="H96" s="1">
        <v>3.1134259259259257E-3</v>
      </c>
      <c r="I96" s="1">
        <v>2.8935185185185184E-4</v>
      </c>
      <c r="J96" s="1">
        <v>2.7083333333333334E-3</v>
      </c>
    </row>
    <row r="97" spans="1:10" x14ac:dyDescent="0.3">
      <c r="A97" t="s">
        <v>118</v>
      </c>
      <c r="B97">
        <v>102</v>
      </c>
      <c r="C97">
        <v>8</v>
      </c>
      <c r="D97">
        <v>2</v>
      </c>
      <c r="E97">
        <v>4</v>
      </c>
      <c r="F97">
        <v>12</v>
      </c>
      <c r="G97" s="4">
        <v>0.1176</v>
      </c>
      <c r="H97" s="1">
        <v>3.3333333333333335E-3</v>
      </c>
      <c r="I97" s="1">
        <v>3.3564814814814812E-4</v>
      </c>
      <c r="J97" s="1">
        <v>3.5185185185185185E-3</v>
      </c>
    </row>
    <row r="98" spans="1:10" x14ac:dyDescent="0.3">
      <c r="A98" t="s">
        <v>119</v>
      </c>
      <c r="B98">
        <v>76</v>
      </c>
      <c r="C98">
        <v>5</v>
      </c>
      <c r="D98">
        <v>1</v>
      </c>
      <c r="E98">
        <v>2</v>
      </c>
      <c r="F98">
        <v>8</v>
      </c>
      <c r="G98" s="4">
        <v>0.1053</v>
      </c>
      <c r="H98" s="1">
        <v>2.9976851851851853E-3</v>
      </c>
      <c r="I98" s="1">
        <v>2.6620370370370372E-4</v>
      </c>
      <c r="J98" s="1">
        <v>2.3842592592592591E-3</v>
      </c>
    </row>
    <row r="99" spans="1:10" x14ac:dyDescent="0.3">
      <c r="A99" t="s">
        <v>120</v>
      </c>
      <c r="B99">
        <v>105</v>
      </c>
      <c r="C99">
        <v>8</v>
      </c>
      <c r="D99">
        <v>3</v>
      </c>
      <c r="E99">
        <v>4</v>
      </c>
      <c r="F99">
        <v>13</v>
      </c>
      <c r="G99" s="4">
        <v>0.12379999999999999</v>
      </c>
      <c r="H99" s="1">
        <v>3.3912037037037036E-3</v>
      </c>
      <c r="I99" s="1">
        <v>3.5879629629629629E-4</v>
      </c>
      <c r="J99" s="1">
        <v>3.7037037037037038E-3</v>
      </c>
    </row>
    <row r="100" spans="1:10" x14ac:dyDescent="0.3">
      <c r="A100" t="s">
        <v>121</v>
      </c>
      <c r="B100">
        <v>81</v>
      </c>
      <c r="C100">
        <v>6</v>
      </c>
      <c r="D100">
        <v>1</v>
      </c>
      <c r="E100">
        <v>2</v>
      </c>
      <c r="F100">
        <v>9</v>
      </c>
      <c r="G100" s="4">
        <v>0.1111</v>
      </c>
      <c r="H100" s="1">
        <v>3.0902777777777777E-3</v>
      </c>
      <c r="I100" s="1">
        <v>2.8935185185185184E-4</v>
      </c>
      <c r="J100" s="1">
        <v>2.6157407407407405E-3</v>
      </c>
    </row>
    <row r="101" spans="1:10" x14ac:dyDescent="0.3">
      <c r="A101" t="s">
        <v>122</v>
      </c>
      <c r="B101">
        <v>109</v>
      </c>
      <c r="C101">
        <v>9</v>
      </c>
      <c r="D101">
        <v>3</v>
      </c>
      <c r="E101">
        <v>4</v>
      </c>
      <c r="F101">
        <v>13</v>
      </c>
      <c r="G101" s="4">
        <v>0.1193</v>
      </c>
      <c r="H101" s="1">
        <v>3.425925925925926E-3</v>
      </c>
      <c r="I101" s="1">
        <v>3.5879629629629629E-4</v>
      </c>
      <c r="J101" s="1">
        <v>3.8888888888888888E-3</v>
      </c>
    </row>
    <row r="102" spans="1:10" x14ac:dyDescent="0.3">
      <c r="A102" t="s">
        <v>123</v>
      </c>
      <c r="B102">
        <v>73</v>
      </c>
      <c r="C102">
        <v>5</v>
      </c>
      <c r="D102">
        <v>1</v>
      </c>
      <c r="E102">
        <v>2</v>
      </c>
      <c r="F102">
        <v>8</v>
      </c>
      <c r="G102" s="4">
        <v>0.1096</v>
      </c>
      <c r="H102" s="1">
        <v>2.9745370370370373E-3</v>
      </c>
      <c r="I102" s="1">
        <v>2.6620370370370372E-4</v>
      </c>
      <c r="J102" s="1">
        <v>2.2222222222222222E-3</v>
      </c>
    </row>
    <row r="103" spans="1:10" x14ac:dyDescent="0.3">
      <c r="A103" t="s">
        <v>124</v>
      </c>
      <c r="B103">
        <v>95</v>
      </c>
      <c r="C103">
        <v>7</v>
      </c>
      <c r="D103">
        <v>2</v>
      </c>
      <c r="E103">
        <v>3</v>
      </c>
      <c r="F103">
        <v>10</v>
      </c>
      <c r="G103" s="4">
        <v>0.1053</v>
      </c>
      <c r="H103" s="1">
        <v>3.1944444444444446E-3</v>
      </c>
      <c r="I103" s="1">
        <v>3.1250000000000001E-4</v>
      </c>
      <c r="J103" s="1">
        <v>3.0324074074074073E-3</v>
      </c>
    </row>
    <row r="104" spans="1:10" x14ac:dyDescent="0.3">
      <c r="A104" t="s">
        <v>125</v>
      </c>
      <c r="B104">
        <v>78</v>
      </c>
      <c r="C104">
        <v>5</v>
      </c>
      <c r="D104">
        <v>1</v>
      </c>
      <c r="E104">
        <v>2</v>
      </c>
      <c r="F104">
        <v>8</v>
      </c>
      <c r="G104" s="4">
        <v>0.1026</v>
      </c>
      <c r="H104" s="1">
        <v>3.0324074074074073E-3</v>
      </c>
      <c r="I104" s="1">
        <v>2.7777777777777778E-4</v>
      </c>
      <c r="J104" s="1">
        <v>2.476851851851852E-3</v>
      </c>
    </row>
    <row r="105" spans="1:10" x14ac:dyDescent="0.3">
      <c r="A105" t="s">
        <v>126</v>
      </c>
      <c r="B105">
        <v>107</v>
      </c>
      <c r="C105">
        <v>8</v>
      </c>
      <c r="D105">
        <v>3</v>
      </c>
      <c r="E105">
        <v>4</v>
      </c>
      <c r="F105">
        <v>13</v>
      </c>
      <c r="G105" s="4">
        <v>0.1215</v>
      </c>
      <c r="H105" s="1">
        <v>3.4027777777777776E-3</v>
      </c>
      <c r="I105" s="1">
        <v>3.5879629629629629E-4</v>
      </c>
      <c r="J105" s="1">
        <v>3.7499999999999999E-3</v>
      </c>
    </row>
    <row r="106" spans="1:10" x14ac:dyDescent="0.3">
      <c r="A106" t="s">
        <v>127</v>
      </c>
      <c r="B106">
        <v>83</v>
      </c>
      <c r="C106">
        <v>6</v>
      </c>
      <c r="D106">
        <v>2</v>
      </c>
      <c r="E106">
        <v>3</v>
      </c>
      <c r="F106">
        <v>9</v>
      </c>
      <c r="G106" s="4">
        <v>0.1084</v>
      </c>
      <c r="H106" s="1">
        <v>3.1018518518518517E-3</v>
      </c>
      <c r="I106" s="1">
        <v>2.8935185185185184E-4</v>
      </c>
      <c r="J106" s="1">
        <v>2.662037037037037E-3</v>
      </c>
    </row>
    <row r="107" spans="1:10" x14ac:dyDescent="0.3">
      <c r="A107" t="s">
        <v>128</v>
      </c>
      <c r="B107">
        <v>100</v>
      </c>
      <c r="C107">
        <v>8</v>
      </c>
      <c r="D107">
        <v>2</v>
      </c>
      <c r="E107">
        <v>4</v>
      </c>
      <c r="F107">
        <v>12</v>
      </c>
      <c r="G107" s="4">
        <v>0.12</v>
      </c>
      <c r="H107" s="1">
        <v>3.3217592592592591E-3</v>
      </c>
      <c r="I107" s="1">
        <v>3.3564814814814812E-4</v>
      </c>
      <c r="J107" s="1">
        <v>3.472222222222222E-3</v>
      </c>
    </row>
    <row r="108" spans="1:10" x14ac:dyDescent="0.3">
      <c r="A108" t="s">
        <v>129</v>
      </c>
      <c r="B108">
        <v>75</v>
      </c>
      <c r="C108">
        <v>5</v>
      </c>
      <c r="D108">
        <v>1</v>
      </c>
      <c r="E108">
        <v>2</v>
      </c>
      <c r="F108">
        <v>8</v>
      </c>
      <c r="G108" s="4">
        <v>0.1067</v>
      </c>
      <c r="H108" s="1">
        <v>2.9861111111111113E-3</v>
      </c>
      <c r="I108" s="1">
        <v>2.6620370370370372E-4</v>
      </c>
      <c r="J108" s="1">
        <v>2.3148148148148147E-3</v>
      </c>
    </row>
    <row r="109" spans="1:10" x14ac:dyDescent="0.3">
      <c r="A109" t="s">
        <v>130</v>
      </c>
      <c r="B109">
        <v>103</v>
      </c>
      <c r="C109">
        <v>8</v>
      </c>
      <c r="D109">
        <v>3</v>
      </c>
      <c r="E109">
        <v>4</v>
      </c>
      <c r="F109">
        <v>12</v>
      </c>
      <c r="G109" s="4">
        <v>0.11650000000000001</v>
      </c>
      <c r="H109" s="1">
        <v>3.3680555555555556E-3</v>
      </c>
      <c r="I109" s="1">
        <v>3.4722222222222224E-4</v>
      </c>
      <c r="J109" s="1">
        <v>3.6111111111111109E-3</v>
      </c>
    </row>
    <row r="110" spans="1:10" x14ac:dyDescent="0.3">
      <c r="A110" t="s">
        <v>131</v>
      </c>
      <c r="B110">
        <v>80</v>
      </c>
      <c r="C110">
        <v>6</v>
      </c>
      <c r="D110">
        <v>1</v>
      </c>
      <c r="E110">
        <v>2</v>
      </c>
      <c r="F110">
        <v>9</v>
      </c>
      <c r="G110" s="4">
        <v>0.1125</v>
      </c>
      <c r="H110" s="1">
        <v>3.0671296296296297E-3</v>
      </c>
      <c r="I110" s="1">
        <v>2.8935185185185184E-4</v>
      </c>
      <c r="J110" s="1">
        <v>2.5694444444444445E-3</v>
      </c>
    </row>
    <row r="111" spans="1:10" x14ac:dyDescent="0.3">
      <c r="A111" t="s">
        <v>132</v>
      </c>
      <c r="B111">
        <v>110</v>
      </c>
      <c r="C111">
        <v>9</v>
      </c>
      <c r="D111">
        <v>3</v>
      </c>
      <c r="E111">
        <v>5</v>
      </c>
      <c r="F111">
        <v>14</v>
      </c>
      <c r="G111" s="4">
        <v>0.1273</v>
      </c>
      <c r="H111" s="1">
        <v>3.449074074074074E-3</v>
      </c>
      <c r="I111" s="1">
        <v>3.7037037037037035E-4</v>
      </c>
      <c r="J111" s="1">
        <v>4.0277777777777777E-3</v>
      </c>
    </row>
    <row r="112" spans="1:10" x14ac:dyDescent="0.3">
      <c r="A112" t="s">
        <v>133</v>
      </c>
      <c r="B112">
        <v>74</v>
      </c>
      <c r="C112">
        <v>5</v>
      </c>
      <c r="D112">
        <v>1</v>
      </c>
      <c r="E112">
        <v>2</v>
      </c>
      <c r="F112">
        <v>8</v>
      </c>
      <c r="G112" s="4">
        <v>0.1081</v>
      </c>
      <c r="H112" s="1">
        <v>2.9629629629629628E-3</v>
      </c>
      <c r="I112" s="1">
        <v>2.6620370370370372E-4</v>
      </c>
      <c r="J112" s="1">
        <v>2.2222222222222222E-3</v>
      </c>
    </row>
    <row r="113" spans="1:10" x14ac:dyDescent="0.3">
      <c r="A113" t="s">
        <v>134</v>
      </c>
      <c r="B113">
        <v>94</v>
      </c>
      <c r="C113">
        <v>7</v>
      </c>
      <c r="D113">
        <v>2</v>
      </c>
      <c r="E113">
        <v>3</v>
      </c>
      <c r="F113">
        <v>10</v>
      </c>
      <c r="G113" s="4">
        <v>0.10639999999999999</v>
      </c>
      <c r="H113" s="1">
        <v>3.1712962962962962E-3</v>
      </c>
      <c r="I113" s="1">
        <v>3.0092592592592595E-4</v>
      </c>
      <c r="J113" s="1">
        <v>2.9629629629629628E-3</v>
      </c>
    </row>
    <row r="114" spans="1:10" x14ac:dyDescent="0.3">
      <c r="A114" t="s">
        <v>135</v>
      </c>
      <c r="B114">
        <v>77</v>
      </c>
      <c r="C114">
        <v>5</v>
      </c>
      <c r="D114">
        <v>1</v>
      </c>
      <c r="E114">
        <v>2</v>
      </c>
      <c r="F114">
        <v>8</v>
      </c>
      <c r="G114" s="4">
        <v>0.10390000000000001</v>
      </c>
      <c r="H114" s="1">
        <v>3.0092592592592593E-3</v>
      </c>
      <c r="I114" s="1">
        <v>2.7777777777777778E-4</v>
      </c>
      <c r="J114" s="1">
        <v>2.4074074074074076E-3</v>
      </c>
    </row>
    <row r="115" spans="1:10" x14ac:dyDescent="0.3">
      <c r="A115" t="s">
        <v>136</v>
      </c>
      <c r="B115">
        <v>106</v>
      </c>
      <c r="C115">
        <v>8</v>
      </c>
      <c r="D115">
        <v>3</v>
      </c>
      <c r="E115">
        <v>4</v>
      </c>
      <c r="F115">
        <v>13</v>
      </c>
      <c r="G115" s="4">
        <v>0.1226</v>
      </c>
      <c r="H115" s="1">
        <v>3.3912037037037036E-3</v>
      </c>
      <c r="I115" s="1">
        <v>3.5879629629629629E-4</v>
      </c>
      <c r="J115" s="1">
        <v>3.7037037037037038E-3</v>
      </c>
    </row>
    <row r="116" spans="1:10" x14ac:dyDescent="0.3">
      <c r="A116" t="s">
        <v>137</v>
      </c>
      <c r="B116">
        <v>82</v>
      </c>
      <c r="C116">
        <v>6</v>
      </c>
      <c r="D116">
        <v>2</v>
      </c>
      <c r="E116">
        <v>3</v>
      </c>
      <c r="F116">
        <v>9</v>
      </c>
      <c r="G116" s="4">
        <v>0.10979999999999999</v>
      </c>
      <c r="H116" s="1">
        <v>3.0902777777777777E-3</v>
      </c>
      <c r="I116" s="1">
        <v>2.8935185185185184E-4</v>
      </c>
      <c r="J116" s="1">
        <v>2.638888888888889E-3</v>
      </c>
    </row>
    <row r="117" spans="1:10" x14ac:dyDescent="0.3">
      <c r="A117" t="s">
        <v>138</v>
      </c>
      <c r="B117">
        <v>99</v>
      </c>
      <c r="C117">
        <v>8</v>
      </c>
      <c r="D117">
        <v>2</v>
      </c>
      <c r="E117">
        <v>4</v>
      </c>
      <c r="F117">
        <v>11</v>
      </c>
      <c r="G117" s="4">
        <v>0.1111</v>
      </c>
      <c r="H117" s="1">
        <v>3.3101851851851851E-3</v>
      </c>
      <c r="I117" s="1">
        <v>3.3564814814814812E-4</v>
      </c>
      <c r="J117" s="1">
        <v>3.425925925925926E-3</v>
      </c>
    </row>
    <row r="118" spans="1:10" x14ac:dyDescent="0.3">
      <c r="A118" t="s">
        <v>139</v>
      </c>
      <c r="B118">
        <v>76</v>
      </c>
      <c r="C118">
        <v>5</v>
      </c>
      <c r="D118">
        <v>1</v>
      </c>
      <c r="E118">
        <v>2</v>
      </c>
      <c r="F118">
        <v>8</v>
      </c>
      <c r="G118" s="4">
        <v>0.1053</v>
      </c>
      <c r="H118" s="1">
        <v>2.9976851851851853E-3</v>
      </c>
      <c r="I118" s="1">
        <v>2.6620370370370372E-4</v>
      </c>
      <c r="J118" s="1">
        <v>2.3611111111111111E-3</v>
      </c>
    </row>
    <row r="119" spans="1:10" x14ac:dyDescent="0.3">
      <c r="A119" t="s">
        <v>140</v>
      </c>
      <c r="B119">
        <v>108</v>
      </c>
      <c r="C119">
        <v>9</v>
      </c>
      <c r="D119">
        <v>3</v>
      </c>
      <c r="E119">
        <v>4</v>
      </c>
      <c r="F119">
        <v>13</v>
      </c>
      <c r="G119" s="4">
        <v>0.12039999999999999</v>
      </c>
      <c r="H119" s="1">
        <v>3.414351851851852E-3</v>
      </c>
      <c r="I119" s="1">
        <v>3.5879629629629629E-4</v>
      </c>
      <c r="J119" s="1">
        <v>3.8425925925925928E-3</v>
      </c>
    </row>
    <row r="120" spans="1:10" x14ac:dyDescent="0.3">
      <c r="A120" t="s">
        <v>141</v>
      </c>
      <c r="B120">
        <v>84</v>
      </c>
      <c r="C120">
        <v>6</v>
      </c>
      <c r="D120">
        <v>2</v>
      </c>
      <c r="E120">
        <v>3</v>
      </c>
      <c r="F120">
        <v>9</v>
      </c>
      <c r="G120" s="4">
        <v>0.1071</v>
      </c>
      <c r="H120" s="1">
        <v>3.1250000000000002E-3</v>
      </c>
      <c r="I120" s="1">
        <v>2.8935185185185184E-4</v>
      </c>
      <c r="J120" s="1">
        <v>2.7314814814814814E-3</v>
      </c>
    </row>
    <row r="121" spans="1:10" x14ac:dyDescent="0.3">
      <c r="A121" t="s">
        <v>142</v>
      </c>
      <c r="B121">
        <v>101</v>
      </c>
      <c r="C121">
        <v>8</v>
      </c>
      <c r="D121">
        <v>2</v>
      </c>
      <c r="E121">
        <v>4</v>
      </c>
      <c r="F121">
        <v>12</v>
      </c>
      <c r="G121" s="4">
        <v>0.1188</v>
      </c>
      <c r="H121" s="1">
        <v>3.3449074074074076E-3</v>
      </c>
      <c r="I121" s="1">
        <v>3.3564814814814812E-4</v>
      </c>
      <c r="J121" s="1">
        <v>3.5300925925925925E-3</v>
      </c>
    </row>
    <row r="122" spans="1:10" x14ac:dyDescent="0.3">
      <c r="A122" t="s">
        <v>143</v>
      </c>
      <c r="B122">
        <v>78</v>
      </c>
      <c r="C122">
        <v>5</v>
      </c>
      <c r="D122">
        <v>1</v>
      </c>
      <c r="E122">
        <v>2</v>
      </c>
      <c r="F122">
        <v>8</v>
      </c>
      <c r="G122" s="4">
        <v>0.1026</v>
      </c>
      <c r="H122" s="1">
        <v>3.0324074074074073E-3</v>
      </c>
      <c r="I122" s="1">
        <v>2.7777777777777778E-4</v>
      </c>
      <c r="J122" s="1">
        <v>2.5000000000000001E-3</v>
      </c>
    </row>
    <row r="123" spans="1:10" x14ac:dyDescent="0.3">
      <c r="A123" t="s">
        <v>144</v>
      </c>
      <c r="B123">
        <v>104</v>
      </c>
      <c r="C123">
        <v>8</v>
      </c>
      <c r="D123">
        <v>3</v>
      </c>
      <c r="E123">
        <v>4</v>
      </c>
      <c r="F123">
        <v>12</v>
      </c>
      <c r="G123" s="4">
        <v>0.1154</v>
      </c>
      <c r="H123" s="1">
        <v>3.3796296296296296E-3</v>
      </c>
      <c r="I123" s="1">
        <v>3.4722222222222224E-4</v>
      </c>
      <c r="J123" s="1">
        <v>3.6805555555555554E-3</v>
      </c>
    </row>
    <row r="124" spans="1:10" x14ac:dyDescent="0.3">
      <c r="A124" t="s">
        <v>145</v>
      </c>
      <c r="B124">
        <v>81</v>
      </c>
      <c r="C124">
        <v>6</v>
      </c>
      <c r="D124">
        <v>1</v>
      </c>
      <c r="E124">
        <v>2</v>
      </c>
      <c r="F124">
        <v>9</v>
      </c>
      <c r="G124" s="4">
        <v>0.1111</v>
      </c>
      <c r="H124" s="1">
        <v>3.0902777777777777E-3</v>
      </c>
      <c r="I124" s="1">
        <v>2.8935185185185184E-4</v>
      </c>
      <c r="J124" s="1">
        <v>2.6157407407407405E-3</v>
      </c>
    </row>
    <row r="125" spans="1:10" x14ac:dyDescent="0.3">
      <c r="A125" t="s">
        <v>146</v>
      </c>
      <c r="B125">
        <v>111</v>
      </c>
      <c r="C125">
        <v>9</v>
      </c>
      <c r="D125">
        <v>3</v>
      </c>
      <c r="E125">
        <v>5</v>
      </c>
      <c r="F125">
        <v>14</v>
      </c>
      <c r="G125" s="4">
        <v>0.12609999999999999</v>
      </c>
      <c r="H125" s="1">
        <v>3.460648148148148E-3</v>
      </c>
      <c r="I125" s="1">
        <v>3.7037037037037035E-4</v>
      </c>
      <c r="J125" s="1">
        <v>4.1087962962962962E-3</v>
      </c>
    </row>
    <row r="126" spans="1:10" x14ac:dyDescent="0.3">
      <c r="A126" t="s">
        <v>147</v>
      </c>
      <c r="B126">
        <v>74</v>
      </c>
      <c r="C126">
        <v>5</v>
      </c>
      <c r="D126">
        <v>1</v>
      </c>
      <c r="E126">
        <v>2</v>
      </c>
      <c r="F126">
        <v>8</v>
      </c>
      <c r="G126" s="4">
        <v>0.1081</v>
      </c>
      <c r="H126" s="1">
        <v>2.9629629629629628E-3</v>
      </c>
      <c r="I126" s="1">
        <v>2.6620370370370372E-4</v>
      </c>
      <c r="J126" s="1">
        <v>2.2453703703703702E-3</v>
      </c>
    </row>
    <row r="127" spans="1:10" x14ac:dyDescent="0.3">
      <c r="A127" t="s">
        <v>148</v>
      </c>
      <c r="B127">
        <v>94</v>
      </c>
      <c r="C127">
        <v>7</v>
      </c>
      <c r="D127">
        <v>2</v>
      </c>
      <c r="E127">
        <v>3</v>
      </c>
      <c r="F127">
        <v>10</v>
      </c>
      <c r="G127" s="4">
        <v>0.10639999999999999</v>
      </c>
      <c r="H127" s="1">
        <v>3.1712962962962962E-3</v>
      </c>
      <c r="I127" s="1">
        <v>3.0092592592592595E-4</v>
      </c>
      <c r="J127" s="1">
        <v>2.9861111111111113E-3</v>
      </c>
    </row>
    <row r="128" spans="1:10" x14ac:dyDescent="0.3">
      <c r="A128" t="s">
        <v>149</v>
      </c>
      <c r="B128">
        <v>77</v>
      </c>
      <c r="C128">
        <v>5</v>
      </c>
      <c r="D128">
        <v>1</v>
      </c>
      <c r="E128">
        <v>2</v>
      </c>
      <c r="F128">
        <v>8</v>
      </c>
      <c r="G128" s="4">
        <v>0.10390000000000001</v>
      </c>
      <c r="H128" s="1">
        <v>3.0092592592592593E-3</v>
      </c>
      <c r="I128" s="1">
        <v>2.7777777777777778E-4</v>
      </c>
      <c r="J128" s="1">
        <v>2.4305555555555556E-3</v>
      </c>
    </row>
    <row r="129" spans="1:10" x14ac:dyDescent="0.3">
      <c r="A129" t="s">
        <v>150</v>
      </c>
      <c r="B129">
        <v>108</v>
      </c>
      <c r="C129">
        <v>8</v>
      </c>
      <c r="D129">
        <v>3</v>
      </c>
      <c r="E129">
        <v>4</v>
      </c>
      <c r="F129">
        <v>13</v>
      </c>
      <c r="G129" s="4">
        <v>0.12039999999999999</v>
      </c>
      <c r="H129" s="1">
        <v>3.414351851851852E-3</v>
      </c>
      <c r="I129" s="1">
        <v>3.5879629629629629E-4</v>
      </c>
      <c r="J129" s="1">
        <v>3.8194444444444443E-3</v>
      </c>
    </row>
    <row r="130" spans="1:10" x14ac:dyDescent="0.3">
      <c r="A130" t="s">
        <v>151</v>
      </c>
      <c r="B130">
        <v>84</v>
      </c>
      <c r="C130">
        <v>6</v>
      </c>
      <c r="D130">
        <v>2</v>
      </c>
      <c r="E130">
        <v>3</v>
      </c>
      <c r="F130">
        <v>9</v>
      </c>
      <c r="G130" s="4">
        <v>0.1071</v>
      </c>
      <c r="H130" s="1">
        <v>3.1134259259259257E-3</v>
      </c>
      <c r="I130" s="1">
        <v>2.8935185185185184E-4</v>
      </c>
      <c r="J130" s="1">
        <v>2.7083333333333334E-3</v>
      </c>
    </row>
    <row r="131" spans="1:10" x14ac:dyDescent="0.3">
      <c r="A131" t="s">
        <v>152</v>
      </c>
      <c r="B131">
        <v>102</v>
      </c>
      <c r="C131">
        <v>8</v>
      </c>
      <c r="D131">
        <v>2</v>
      </c>
      <c r="E131">
        <v>4</v>
      </c>
      <c r="F131">
        <v>12</v>
      </c>
      <c r="G131" s="4">
        <v>0.1176</v>
      </c>
      <c r="H131" s="1">
        <v>3.3333333333333335E-3</v>
      </c>
      <c r="I131" s="1">
        <v>3.3564814814814812E-4</v>
      </c>
      <c r="J131" s="1">
        <v>3.5185185185185185E-3</v>
      </c>
    </row>
    <row r="132" spans="1:10" x14ac:dyDescent="0.3">
      <c r="A132" t="s">
        <v>153</v>
      </c>
      <c r="B132">
        <v>76</v>
      </c>
      <c r="C132">
        <v>5</v>
      </c>
      <c r="D132">
        <v>1</v>
      </c>
      <c r="E132">
        <v>2</v>
      </c>
      <c r="F132">
        <v>8</v>
      </c>
      <c r="G132" s="4">
        <v>0.1053</v>
      </c>
      <c r="H132" s="1">
        <v>2.9976851851851853E-3</v>
      </c>
      <c r="I132" s="1">
        <v>2.6620370370370372E-4</v>
      </c>
      <c r="J132" s="1">
        <v>2.3842592592592591E-3</v>
      </c>
    </row>
    <row r="133" spans="1:10" x14ac:dyDescent="0.3">
      <c r="A133" t="s">
        <v>154</v>
      </c>
      <c r="B133">
        <v>105</v>
      </c>
      <c r="C133">
        <v>8</v>
      </c>
      <c r="D133">
        <v>3</v>
      </c>
      <c r="E133">
        <v>4</v>
      </c>
      <c r="F133">
        <v>13</v>
      </c>
      <c r="G133" s="4">
        <v>0.12379999999999999</v>
      </c>
      <c r="H133" s="1">
        <v>3.3912037037037036E-3</v>
      </c>
      <c r="I133" s="1">
        <v>3.5879629629629629E-4</v>
      </c>
      <c r="J133" s="1">
        <v>3.7037037037037038E-3</v>
      </c>
    </row>
    <row r="134" spans="1:10" x14ac:dyDescent="0.3">
      <c r="A134" t="s">
        <v>155</v>
      </c>
      <c r="B134">
        <v>81</v>
      </c>
      <c r="C134">
        <v>6</v>
      </c>
      <c r="D134">
        <v>1</v>
      </c>
      <c r="E134">
        <v>2</v>
      </c>
      <c r="F134">
        <v>9</v>
      </c>
      <c r="G134" s="4">
        <v>0.1111</v>
      </c>
      <c r="H134" s="1">
        <v>3.0902777777777777E-3</v>
      </c>
      <c r="I134" s="1">
        <v>2.8935185185185184E-4</v>
      </c>
      <c r="J134" s="1">
        <v>2.6157407407407405E-3</v>
      </c>
    </row>
    <row r="135" spans="1:10" x14ac:dyDescent="0.3">
      <c r="A135" t="s">
        <v>156</v>
      </c>
      <c r="B135">
        <v>109</v>
      </c>
      <c r="C135">
        <v>9</v>
      </c>
      <c r="D135">
        <v>3</v>
      </c>
      <c r="E135">
        <v>4</v>
      </c>
      <c r="F135">
        <v>13</v>
      </c>
      <c r="G135" s="4">
        <v>0.1193</v>
      </c>
      <c r="H135" s="1">
        <v>3.425925925925926E-3</v>
      </c>
      <c r="I135" s="1">
        <v>3.5879629629629629E-4</v>
      </c>
      <c r="J135" s="1">
        <v>3.8888888888888888E-3</v>
      </c>
    </row>
    <row r="136" spans="1:10" x14ac:dyDescent="0.3">
      <c r="A136" t="s">
        <v>157</v>
      </c>
      <c r="B136">
        <v>73</v>
      </c>
      <c r="C136">
        <v>5</v>
      </c>
      <c r="D136">
        <v>1</v>
      </c>
      <c r="E136">
        <v>2</v>
      </c>
      <c r="F136">
        <v>8</v>
      </c>
      <c r="G136" s="4">
        <v>0.1096</v>
      </c>
      <c r="H136" s="1">
        <v>2.9745370370370373E-3</v>
      </c>
      <c r="I136" s="1">
        <v>2.6620370370370372E-4</v>
      </c>
      <c r="J136" s="1">
        <v>2.2222222222222222E-3</v>
      </c>
    </row>
    <row r="137" spans="1:10" x14ac:dyDescent="0.3">
      <c r="A137" t="s">
        <v>158</v>
      </c>
      <c r="B137">
        <v>95</v>
      </c>
      <c r="C137">
        <v>7</v>
      </c>
      <c r="D137">
        <v>2</v>
      </c>
      <c r="E137">
        <v>3</v>
      </c>
      <c r="F137">
        <v>10</v>
      </c>
      <c r="G137" s="4">
        <v>0.1053</v>
      </c>
      <c r="H137" s="1">
        <v>3.1944444444444446E-3</v>
      </c>
      <c r="I137" s="1">
        <v>3.1250000000000001E-4</v>
      </c>
      <c r="J137" s="1">
        <v>3.0324074074074073E-3</v>
      </c>
    </row>
    <row r="138" spans="1:10" x14ac:dyDescent="0.3">
      <c r="A138" t="s">
        <v>159</v>
      </c>
      <c r="B138">
        <v>78</v>
      </c>
      <c r="C138">
        <v>5</v>
      </c>
      <c r="D138">
        <v>1</v>
      </c>
      <c r="E138">
        <v>2</v>
      </c>
      <c r="F138">
        <v>8</v>
      </c>
      <c r="G138" s="4">
        <v>0.1026</v>
      </c>
      <c r="H138" s="1">
        <v>3.0324074074074073E-3</v>
      </c>
      <c r="I138" s="1">
        <v>2.7777777777777778E-4</v>
      </c>
      <c r="J138" s="1">
        <v>2.476851851851852E-3</v>
      </c>
    </row>
    <row r="139" spans="1:10" x14ac:dyDescent="0.3">
      <c r="A139" t="s">
        <v>160</v>
      </c>
      <c r="B139">
        <v>107</v>
      </c>
      <c r="C139">
        <v>8</v>
      </c>
      <c r="D139">
        <v>3</v>
      </c>
      <c r="E139">
        <v>4</v>
      </c>
      <c r="F139">
        <v>13</v>
      </c>
      <c r="G139" s="4">
        <v>0.1215</v>
      </c>
      <c r="H139" s="1">
        <v>3.4027777777777776E-3</v>
      </c>
      <c r="I139" s="1">
        <v>3.5879629629629629E-4</v>
      </c>
      <c r="J139" s="1">
        <v>3.7499999999999999E-3</v>
      </c>
    </row>
    <row r="140" spans="1:10" x14ac:dyDescent="0.3">
      <c r="A140" t="s">
        <v>161</v>
      </c>
      <c r="B140">
        <v>83</v>
      </c>
      <c r="C140">
        <v>6</v>
      </c>
      <c r="D140">
        <v>2</v>
      </c>
      <c r="E140">
        <v>3</v>
      </c>
      <c r="F140">
        <v>9</v>
      </c>
      <c r="G140" s="4">
        <v>0.1084</v>
      </c>
      <c r="H140" s="1">
        <v>3.1018518518518517E-3</v>
      </c>
      <c r="I140" s="1">
        <v>2.8935185185185184E-4</v>
      </c>
      <c r="J140" s="1">
        <v>2.662037037037037E-3</v>
      </c>
    </row>
    <row r="141" spans="1:10" x14ac:dyDescent="0.3">
      <c r="A141" t="s">
        <v>162</v>
      </c>
      <c r="B141">
        <v>100</v>
      </c>
      <c r="C141">
        <v>8</v>
      </c>
      <c r="D141">
        <v>2</v>
      </c>
      <c r="E141">
        <v>4</v>
      </c>
      <c r="F141">
        <v>12</v>
      </c>
      <c r="G141" s="4">
        <v>0.12</v>
      </c>
      <c r="H141" s="1">
        <v>3.3217592592592591E-3</v>
      </c>
      <c r="I141" s="1">
        <v>3.3564814814814812E-4</v>
      </c>
      <c r="J141" s="1">
        <v>3.472222222222222E-3</v>
      </c>
    </row>
    <row r="142" spans="1:10" x14ac:dyDescent="0.3">
      <c r="A142" t="s">
        <v>163</v>
      </c>
      <c r="B142">
        <v>75</v>
      </c>
      <c r="C142">
        <v>5</v>
      </c>
      <c r="D142">
        <v>1</v>
      </c>
      <c r="E142">
        <v>2</v>
      </c>
      <c r="F142">
        <v>8</v>
      </c>
      <c r="G142" s="4">
        <v>0.1067</v>
      </c>
      <c r="H142" s="1">
        <v>2.9861111111111113E-3</v>
      </c>
      <c r="I142" s="1">
        <v>2.6620370370370372E-4</v>
      </c>
      <c r="J142" s="1">
        <v>2.3148148148148147E-3</v>
      </c>
    </row>
    <row r="143" spans="1:10" x14ac:dyDescent="0.3">
      <c r="A143" t="s">
        <v>164</v>
      </c>
      <c r="B143">
        <v>103</v>
      </c>
      <c r="C143">
        <v>8</v>
      </c>
      <c r="D143">
        <v>3</v>
      </c>
      <c r="E143">
        <v>4</v>
      </c>
      <c r="F143">
        <v>12</v>
      </c>
      <c r="G143" s="4">
        <v>0.11650000000000001</v>
      </c>
      <c r="H143" s="1">
        <v>3.3680555555555556E-3</v>
      </c>
      <c r="I143" s="1">
        <v>3.4722222222222224E-4</v>
      </c>
      <c r="J143" s="1">
        <v>3.6111111111111109E-3</v>
      </c>
    </row>
    <row r="144" spans="1:10" x14ac:dyDescent="0.3">
      <c r="A144" t="s">
        <v>165</v>
      </c>
      <c r="B144">
        <v>80</v>
      </c>
      <c r="C144">
        <v>6</v>
      </c>
      <c r="D144">
        <v>1</v>
      </c>
      <c r="E144">
        <v>2</v>
      </c>
      <c r="F144">
        <v>9</v>
      </c>
      <c r="G144" s="4">
        <v>0.1125</v>
      </c>
      <c r="H144" s="1">
        <v>3.0671296296296297E-3</v>
      </c>
      <c r="I144" s="1">
        <v>2.8935185185185184E-4</v>
      </c>
      <c r="J144" s="1">
        <v>2.5694444444444445E-3</v>
      </c>
    </row>
    <row r="145" spans="1:10" x14ac:dyDescent="0.3">
      <c r="A145" t="s">
        <v>166</v>
      </c>
      <c r="B145">
        <v>110</v>
      </c>
      <c r="C145">
        <v>9</v>
      </c>
      <c r="D145">
        <v>3</v>
      </c>
      <c r="E145">
        <v>5</v>
      </c>
      <c r="F145">
        <v>14</v>
      </c>
      <c r="G145" s="4">
        <v>0.1273</v>
      </c>
      <c r="H145" s="1">
        <v>3.449074074074074E-3</v>
      </c>
      <c r="I145" s="1">
        <v>3.7037037037037035E-4</v>
      </c>
      <c r="J145" s="1">
        <v>4.0277777777777777E-3</v>
      </c>
    </row>
    <row r="146" spans="1:10" x14ac:dyDescent="0.3">
      <c r="A146" t="s">
        <v>167</v>
      </c>
      <c r="B146">
        <v>74</v>
      </c>
      <c r="C146">
        <v>5</v>
      </c>
      <c r="D146">
        <v>1</v>
      </c>
      <c r="E146">
        <v>2</v>
      </c>
      <c r="F146">
        <v>8</v>
      </c>
      <c r="G146" s="4">
        <v>0.1081</v>
      </c>
      <c r="H146" s="1">
        <v>2.9629629629629628E-3</v>
      </c>
      <c r="I146" s="1">
        <v>2.6620370370370372E-4</v>
      </c>
      <c r="J146" s="1">
        <v>2.2222222222222222E-3</v>
      </c>
    </row>
    <row r="147" spans="1:10" x14ac:dyDescent="0.3">
      <c r="A147" t="s">
        <v>168</v>
      </c>
      <c r="B147">
        <v>94</v>
      </c>
      <c r="C147">
        <v>7</v>
      </c>
      <c r="D147">
        <v>2</v>
      </c>
      <c r="E147">
        <v>3</v>
      </c>
      <c r="F147">
        <v>10</v>
      </c>
      <c r="G147" s="4">
        <v>0.10639999999999999</v>
      </c>
      <c r="H147" s="1">
        <v>3.1712962962962962E-3</v>
      </c>
      <c r="I147" s="1">
        <v>3.0092592592592595E-4</v>
      </c>
      <c r="J147" s="1">
        <v>2.9629629629629628E-3</v>
      </c>
    </row>
    <row r="148" spans="1:10" x14ac:dyDescent="0.3">
      <c r="A148" t="s">
        <v>169</v>
      </c>
      <c r="B148">
        <v>77</v>
      </c>
      <c r="C148">
        <v>5</v>
      </c>
      <c r="D148">
        <v>1</v>
      </c>
      <c r="E148">
        <v>2</v>
      </c>
      <c r="F148">
        <v>8</v>
      </c>
      <c r="G148" s="4">
        <v>0.10390000000000001</v>
      </c>
      <c r="H148" s="1">
        <v>3.0092592592592593E-3</v>
      </c>
      <c r="I148" s="1">
        <v>2.7777777777777778E-4</v>
      </c>
      <c r="J148" s="1">
        <v>2.4074074074074076E-3</v>
      </c>
    </row>
    <row r="149" spans="1:10" x14ac:dyDescent="0.3">
      <c r="A149" t="s">
        <v>170</v>
      </c>
      <c r="B149">
        <v>106</v>
      </c>
      <c r="C149">
        <v>8</v>
      </c>
      <c r="D149">
        <v>3</v>
      </c>
      <c r="E149">
        <v>4</v>
      </c>
      <c r="F149">
        <v>13</v>
      </c>
      <c r="G149" s="4">
        <v>0.1226</v>
      </c>
      <c r="H149" s="1">
        <v>3.3912037037037036E-3</v>
      </c>
      <c r="I149" s="1">
        <v>3.5879629629629629E-4</v>
      </c>
      <c r="J149" s="1">
        <v>3.7037037037037038E-3</v>
      </c>
    </row>
    <row r="150" spans="1:10" x14ac:dyDescent="0.3">
      <c r="A150" t="s">
        <v>171</v>
      </c>
      <c r="B150">
        <v>82</v>
      </c>
      <c r="C150">
        <v>6</v>
      </c>
      <c r="D150">
        <v>2</v>
      </c>
      <c r="E150">
        <v>3</v>
      </c>
      <c r="F150">
        <v>9</v>
      </c>
      <c r="G150" s="4">
        <v>0.10979999999999999</v>
      </c>
      <c r="H150" s="1">
        <v>3.0902777777777777E-3</v>
      </c>
      <c r="I150" s="1">
        <v>2.8935185185185184E-4</v>
      </c>
      <c r="J150" s="1">
        <v>2.638888888888889E-3</v>
      </c>
    </row>
    <row r="151" spans="1:10" x14ac:dyDescent="0.3">
      <c r="A151" t="s">
        <v>172</v>
      </c>
      <c r="B151">
        <v>99</v>
      </c>
      <c r="C151">
        <v>8</v>
      </c>
      <c r="D151">
        <v>2</v>
      </c>
      <c r="E151">
        <v>4</v>
      </c>
      <c r="F151">
        <v>11</v>
      </c>
      <c r="G151" s="4">
        <v>0.1111</v>
      </c>
      <c r="H151" s="1">
        <v>3.3101851851851851E-3</v>
      </c>
      <c r="I151" s="1">
        <v>3.3564814814814812E-4</v>
      </c>
      <c r="J151" s="1">
        <v>3.425925925925926E-3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B8CA8-580C-4AA0-8FE5-25E9CCDBD7D2}">
  <sheetPr codeName="Sheet4"/>
  <dimension ref="A1:G151"/>
  <sheetViews>
    <sheetView workbookViewId="0">
      <selection activeCell="C2" sqref="C2"/>
    </sheetView>
  </sheetViews>
  <sheetFormatPr defaultRowHeight="14.4" x14ac:dyDescent="0.3"/>
  <cols>
    <col min="1" max="1" width="23.33203125" bestFit="1" customWidth="1"/>
    <col min="2" max="2" width="14.109375" bestFit="1" customWidth="1"/>
    <col min="3" max="3" width="26.44140625" bestFit="1" customWidth="1"/>
    <col min="4" max="4" width="13.88671875" bestFit="1" customWidth="1"/>
    <col min="5" max="5" width="15.33203125" bestFit="1" customWidth="1"/>
    <col min="6" max="6" width="12.44140625" bestFit="1" customWidth="1"/>
    <col min="7" max="7" width="18.33203125" bestFit="1" customWidth="1"/>
  </cols>
  <sheetData>
    <row r="1" spans="1:7" x14ac:dyDescent="0.3">
      <c r="A1" s="6" t="s">
        <v>0</v>
      </c>
      <c r="B1" s="6" t="s">
        <v>181</v>
      </c>
      <c r="C1" s="6" t="s">
        <v>182</v>
      </c>
      <c r="D1" s="6" t="s">
        <v>183</v>
      </c>
      <c r="E1" s="6" t="s">
        <v>184</v>
      </c>
      <c r="F1" s="6" t="s">
        <v>185</v>
      </c>
      <c r="G1" s="6" t="s">
        <v>186</v>
      </c>
    </row>
    <row r="2" spans="1:7" x14ac:dyDescent="0.3">
      <c r="A2" t="str">
        <f>break!A2</f>
        <v>Rahul Sharma (1009001)</v>
      </c>
      <c r="B2" t="str">
        <f>LEFT(A2,FIND("(",A2)-2)</f>
        <v>Rahul Sharma</v>
      </c>
      <c r="C2" s="7">
        <f t="shared" ref="C2:C33" si="0">VLOOKUP(A2,edata,2,0)</f>
        <v>0.34424768518518517</v>
      </c>
      <c r="D2" s="7">
        <f t="shared" ref="D2:D33" si="1">VLOOKUP(A2,edata,3,0)</f>
        <v>0.20693287037037036</v>
      </c>
      <c r="E2" s="7">
        <f t="shared" ref="E2:E33" si="2">VLOOKUP(A2,break,9,0)</f>
        <v>4.6585648148148147E-2</v>
      </c>
      <c r="F2">
        <f t="shared" ref="F2:F33" si="3">VLOOKUP(A2,edata,4,0)</f>
        <v>98</v>
      </c>
      <c r="G2" s="8">
        <f t="shared" ref="G2:G33" si="4">VLOOKUP(A2,edata,6,0)</f>
        <v>0.55700000000000005</v>
      </c>
    </row>
    <row r="3" spans="1:7" x14ac:dyDescent="0.3">
      <c r="A3" t="str">
        <f>break!A3</f>
        <v>Priya Verma (1009002)</v>
      </c>
      <c r="B3" t="str">
        <f t="shared" ref="B3:B66" si="5">LEFT(A3,FIND("(",A3)-2)</f>
        <v>Priya Verma</v>
      </c>
      <c r="C3" s="7">
        <f t="shared" si="0"/>
        <v>0.34416666666666668</v>
      </c>
      <c r="D3" s="7">
        <f t="shared" si="1"/>
        <v>0.20733796296296297</v>
      </c>
      <c r="E3" s="7">
        <f t="shared" si="2"/>
        <v>5.2048611111111108E-2</v>
      </c>
      <c r="F3">
        <f t="shared" si="3"/>
        <v>23</v>
      </c>
      <c r="G3" s="8">
        <f t="shared" si="4"/>
        <v>0.58030000000000004</v>
      </c>
    </row>
    <row r="4" spans="1:7" x14ac:dyDescent="0.3">
      <c r="A4" t="str">
        <f>break!A4</f>
        <v>Aman Singh (1009003)</v>
      </c>
      <c r="B4" t="str">
        <f t="shared" si="5"/>
        <v>Aman Singh</v>
      </c>
      <c r="C4" s="7">
        <f t="shared" si="0"/>
        <v>0.34510416666666666</v>
      </c>
      <c r="D4" s="7">
        <f t="shared" si="1"/>
        <v>0.20109953703703703</v>
      </c>
      <c r="E4" s="7">
        <f t="shared" si="2"/>
        <v>5.4108796296296294E-2</v>
      </c>
      <c r="F4">
        <f t="shared" si="3"/>
        <v>28</v>
      </c>
      <c r="G4" s="8">
        <f t="shared" si="4"/>
        <v>0.5171</v>
      </c>
    </row>
    <row r="5" spans="1:7" x14ac:dyDescent="0.3">
      <c r="A5" t="str">
        <f>break!A5</f>
        <v>Neha Gupta (1009004)</v>
      </c>
      <c r="B5" t="str">
        <f t="shared" si="5"/>
        <v>Neha Gupta</v>
      </c>
      <c r="C5" s="7">
        <f t="shared" si="0"/>
        <v>0.34023148148148147</v>
      </c>
      <c r="D5" s="7">
        <f t="shared" si="1"/>
        <v>0.17884259259259258</v>
      </c>
      <c r="E5" s="7">
        <f t="shared" si="2"/>
        <v>5.9699074074074071E-2</v>
      </c>
      <c r="F5">
        <f t="shared" si="3"/>
        <v>29</v>
      </c>
      <c r="G5" s="8">
        <f t="shared" si="4"/>
        <v>0.47720000000000001</v>
      </c>
    </row>
    <row r="6" spans="1:7" x14ac:dyDescent="0.3">
      <c r="A6" t="str">
        <f>break!A6</f>
        <v>Rohit Kumar (1009005)</v>
      </c>
      <c r="B6" t="str">
        <f t="shared" si="5"/>
        <v>Rohit Kumar</v>
      </c>
      <c r="C6" s="7">
        <f t="shared" si="0"/>
        <v>0.30603009259259262</v>
      </c>
      <c r="D6" s="7">
        <f t="shared" si="1"/>
        <v>0.13870370370370369</v>
      </c>
      <c r="E6" s="7">
        <f t="shared" si="2"/>
        <v>5.2106481481481483E-2</v>
      </c>
      <c r="F6">
        <f t="shared" si="3"/>
        <v>93</v>
      </c>
      <c r="G6" s="8">
        <f t="shared" si="4"/>
        <v>0.43290000000000001</v>
      </c>
    </row>
    <row r="7" spans="1:7" x14ac:dyDescent="0.3">
      <c r="A7" t="str">
        <f>break!A7</f>
        <v>Anjali Dixit (1009006)</v>
      </c>
      <c r="B7" t="str">
        <f t="shared" si="5"/>
        <v>Anjali Dixit</v>
      </c>
      <c r="C7" s="7">
        <f t="shared" si="0"/>
        <v>0.2084375</v>
      </c>
      <c r="D7" s="7">
        <f t="shared" si="1"/>
        <v>0.15369212962962964</v>
      </c>
      <c r="E7" s="7">
        <f t="shared" si="2"/>
        <v>7.0659722222222221E-2</v>
      </c>
      <c r="F7">
        <f t="shared" si="3"/>
        <v>92</v>
      </c>
      <c r="G7" s="8">
        <f t="shared" si="4"/>
        <v>0.65500000000000003</v>
      </c>
    </row>
    <row r="8" spans="1:7" x14ac:dyDescent="0.3">
      <c r="A8" t="str">
        <f>break!A8</f>
        <v>Karan Mehta (1009007)</v>
      </c>
      <c r="B8" t="str">
        <f t="shared" si="5"/>
        <v>Karan Mehta</v>
      </c>
      <c r="C8" s="7">
        <f t="shared" si="0"/>
        <v>0.34488425925925925</v>
      </c>
      <c r="D8" s="7">
        <f t="shared" si="1"/>
        <v>0.17553240740740741</v>
      </c>
      <c r="E8" s="7">
        <f t="shared" si="2"/>
        <v>9.4699074074074074E-2</v>
      </c>
      <c r="F8">
        <f t="shared" si="3"/>
        <v>26</v>
      </c>
      <c r="G8" s="8">
        <f t="shared" si="4"/>
        <v>0.49480000000000002</v>
      </c>
    </row>
    <row r="9" spans="1:7" x14ac:dyDescent="0.3">
      <c r="A9" t="str">
        <f>break!A9</f>
        <v>Pooja Rana (1009008)</v>
      </c>
      <c r="B9" t="str">
        <f t="shared" si="5"/>
        <v>Pooja Rana</v>
      </c>
      <c r="C9" s="7">
        <f t="shared" si="0"/>
        <v>0.38646990740740739</v>
      </c>
      <c r="D9" s="7">
        <f t="shared" si="1"/>
        <v>0.24453703703703702</v>
      </c>
      <c r="E9" s="7">
        <f t="shared" si="2"/>
        <v>5.2025462962962961E-2</v>
      </c>
      <c r="F9">
        <f t="shared" si="3"/>
        <v>90</v>
      </c>
      <c r="G9" s="8">
        <f t="shared" si="4"/>
        <v>0.55130000000000001</v>
      </c>
    </row>
    <row r="10" spans="1:7" x14ac:dyDescent="0.3">
      <c r="A10" t="str">
        <f>break!A10</f>
        <v>Deepak Joshi (1009009)</v>
      </c>
      <c r="B10" t="str">
        <f t="shared" si="5"/>
        <v>Deepak Joshi</v>
      </c>
      <c r="C10" s="7">
        <f t="shared" si="0"/>
        <v>0.34256944444444443</v>
      </c>
      <c r="D10" s="7">
        <f t="shared" si="1"/>
        <v>0.20311342592592593</v>
      </c>
      <c r="E10" s="7">
        <f t="shared" si="2"/>
        <v>6.3078703703703706E-2</v>
      </c>
      <c r="F10">
        <f t="shared" si="3"/>
        <v>89</v>
      </c>
      <c r="G10" s="8">
        <f t="shared" si="4"/>
        <v>0.55210000000000004</v>
      </c>
    </row>
    <row r="11" spans="1:7" x14ac:dyDescent="0.3">
      <c r="A11" t="str">
        <f>break!A11</f>
        <v>Sakshi Rawat (1009010)</v>
      </c>
      <c r="B11" t="str">
        <f t="shared" si="5"/>
        <v>Sakshi Rawat</v>
      </c>
      <c r="C11" s="7">
        <f t="shared" si="0"/>
        <v>0.34769675925925925</v>
      </c>
      <c r="D11" s="7">
        <f t="shared" si="1"/>
        <v>0.20702546296296295</v>
      </c>
      <c r="E11" s="7">
        <f t="shared" si="2"/>
        <v>5.0347222222222224E-2</v>
      </c>
      <c r="F11">
        <f t="shared" si="3"/>
        <v>54</v>
      </c>
      <c r="G11" s="8">
        <f t="shared" si="4"/>
        <v>0.56869999999999998</v>
      </c>
    </row>
    <row r="12" spans="1:7" x14ac:dyDescent="0.3">
      <c r="A12" t="str">
        <f>break!A12</f>
        <v>Mohit Negi (1009011)</v>
      </c>
      <c r="B12" t="str">
        <f t="shared" si="5"/>
        <v>Mohit Negi</v>
      </c>
      <c r="C12" s="7">
        <f t="shared" si="0"/>
        <v>0.34068287037037037</v>
      </c>
      <c r="D12" s="7">
        <f t="shared" si="1"/>
        <v>0.20518518518518519</v>
      </c>
      <c r="E12" s="7">
        <f t="shared" si="2"/>
        <v>5.0636574074074077E-2</v>
      </c>
      <c r="F12">
        <f t="shared" si="3"/>
        <v>87</v>
      </c>
      <c r="G12" s="8">
        <f t="shared" si="4"/>
        <v>0.56040000000000001</v>
      </c>
    </row>
    <row r="13" spans="1:7" x14ac:dyDescent="0.3">
      <c r="A13" t="str">
        <f>break!A13</f>
        <v>Nisha Bisht (1009012)</v>
      </c>
      <c r="B13" t="str">
        <f t="shared" si="5"/>
        <v>Nisha Bisht</v>
      </c>
      <c r="C13" s="7">
        <f t="shared" si="0"/>
        <v>0.33622685185185186</v>
      </c>
      <c r="D13" s="7">
        <f t="shared" si="1"/>
        <v>0.15812499999999999</v>
      </c>
      <c r="E13" s="7">
        <f t="shared" si="2"/>
        <v>5.3935185185185183E-2</v>
      </c>
      <c r="F13">
        <f t="shared" si="3"/>
        <v>65</v>
      </c>
      <c r="G13" s="8">
        <f t="shared" si="4"/>
        <v>0.41549999999999998</v>
      </c>
    </row>
    <row r="14" spans="1:7" x14ac:dyDescent="0.3">
      <c r="A14" t="str">
        <f>break!A14</f>
        <v>Arjun Chauhan (1009013)</v>
      </c>
      <c r="B14" t="str">
        <f t="shared" si="5"/>
        <v>Arjun Chauhan</v>
      </c>
      <c r="C14" s="7">
        <f t="shared" si="0"/>
        <v>0.34349537037037037</v>
      </c>
      <c r="D14" s="7">
        <f t="shared" si="1"/>
        <v>0.19699074074074074</v>
      </c>
      <c r="E14" s="7">
        <f t="shared" si="2"/>
        <v>7.5578703703703703E-2</v>
      </c>
      <c r="F14">
        <f t="shared" si="3"/>
        <v>85</v>
      </c>
      <c r="G14" s="8">
        <f t="shared" si="4"/>
        <v>0.50029999999999997</v>
      </c>
    </row>
    <row r="15" spans="1:7" x14ac:dyDescent="0.3">
      <c r="A15" t="str">
        <f>break!A15</f>
        <v>Vishal Kumar (1009014)</v>
      </c>
      <c r="B15" t="str">
        <f t="shared" si="5"/>
        <v>Vishal Kumar</v>
      </c>
      <c r="C15" s="7">
        <f t="shared" si="0"/>
        <v>0.33321759259259259</v>
      </c>
      <c r="D15" s="7">
        <f t="shared" si="1"/>
        <v>0.19475694444444444</v>
      </c>
      <c r="E15" s="7">
        <f t="shared" si="2"/>
        <v>7.6377314814814815E-2</v>
      </c>
      <c r="F15">
        <f t="shared" si="3"/>
        <v>65</v>
      </c>
      <c r="G15" s="8">
        <f t="shared" si="4"/>
        <v>0.51400000000000001</v>
      </c>
    </row>
    <row r="16" spans="1:7" x14ac:dyDescent="0.3">
      <c r="A16" t="str">
        <f>break!A16</f>
        <v>Aditi Sharma (1009015)</v>
      </c>
      <c r="B16" t="str">
        <f t="shared" si="5"/>
        <v>Aditi Sharma</v>
      </c>
      <c r="C16" s="7">
        <f t="shared" si="0"/>
        <v>0.34512731481481479</v>
      </c>
      <c r="D16" s="7">
        <f t="shared" si="1"/>
        <v>0.2066550925925926</v>
      </c>
      <c r="E16" s="7">
        <f t="shared" si="2"/>
        <v>4.988425925925926E-2</v>
      </c>
      <c r="F16">
        <f t="shared" si="3"/>
        <v>83</v>
      </c>
      <c r="G16" s="8">
        <f t="shared" si="4"/>
        <v>0.51060000000000005</v>
      </c>
    </row>
    <row r="17" spans="1:7" x14ac:dyDescent="0.3">
      <c r="A17" t="str">
        <f>break!A17</f>
        <v>Harsh Kumar (1009016)</v>
      </c>
      <c r="B17" t="str">
        <f t="shared" si="5"/>
        <v>Harsh Kumar</v>
      </c>
      <c r="C17" s="7">
        <f t="shared" si="0"/>
        <v>0.34531250000000002</v>
      </c>
      <c r="D17" s="7">
        <f t="shared" si="1"/>
        <v>0.1973611111111111</v>
      </c>
      <c r="E17" s="7">
        <f t="shared" si="2"/>
        <v>4.6932870370370368E-2</v>
      </c>
      <c r="F17">
        <f t="shared" si="3"/>
        <v>81</v>
      </c>
      <c r="G17" s="8">
        <f t="shared" si="4"/>
        <v>0.5736</v>
      </c>
    </row>
    <row r="18" spans="1:7" x14ac:dyDescent="0.3">
      <c r="A18" t="str">
        <f>break!A18</f>
        <v>Simran Kaur (1009017)</v>
      </c>
      <c r="B18" t="str">
        <f t="shared" si="5"/>
        <v>Simran Kaur</v>
      </c>
      <c r="C18" s="7">
        <f t="shared" si="0"/>
        <v>0.34129629629629632</v>
      </c>
      <c r="D18" s="7">
        <f t="shared" si="1"/>
        <v>0.19438657407407409</v>
      </c>
      <c r="E18" s="7">
        <f t="shared" si="2"/>
        <v>5.5208333333333331E-2</v>
      </c>
      <c r="F18">
        <f t="shared" si="3"/>
        <v>76</v>
      </c>
      <c r="G18" s="8">
        <f t="shared" si="4"/>
        <v>0.53239999999999998</v>
      </c>
    </row>
    <row r="19" spans="1:7" x14ac:dyDescent="0.3">
      <c r="A19" t="str">
        <f>break!A19</f>
        <v>Ajay Rawat (1009018)</v>
      </c>
      <c r="B19" t="str">
        <f t="shared" si="5"/>
        <v>Ajay Rawat</v>
      </c>
      <c r="C19" s="7">
        <f t="shared" si="0"/>
        <v>0.33734953703703702</v>
      </c>
      <c r="D19" s="7">
        <f t="shared" si="1"/>
        <v>0.18652777777777776</v>
      </c>
      <c r="E19" s="7">
        <f t="shared" si="2"/>
        <v>6.0300925925925924E-2</v>
      </c>
      <c r="F19">
        <f t="shared" si="3"/>
        <v>72</v>
      </c>
      <c r="G19" s="8">
        <f t="shared" si="4"/>
        <v>0.52159999999999995</v>
      </c>
    </row>
    <row r="20" spans="1:7" x14ac:dyDescent="0.3">
      <c r="A20" t="str">
        <f>break!A20</f>
        <v>Ritika Sharma (1009019)</v>
      </c>
      <c r="B20" t="str">
        <f t="shared" si="5"/>
        <v>Ritika Sharma</v>
      </c>
      <c r="C20" s="7">
        <f t="shared" si="0"/>
        <v>0.34587962962962965</v>
      </c>
      <c r="D20" s="7">
        <f t="shared" si="1"/>
        <v>0.20931712962962962</v>
      </c>
      <c r="E20" s="7">
        <f t="shared" si="2"/>
        <v>5.0115740740740738E-2</v>
      </c>
      <c r="F20">
        <f t="shared" si="3"/>
        <v>104</v>
      </c>
      <c r="G20" s="8">
        <f t="shared" si="4"/>
        <v>0.58409999999999995</v>
      </c>
    </row>
    <row r="21" spans="1:7" x14ac:dyDescent="0.3">
      <c r="A21" t="str">
        <f>break!A21</f>
        <v>Nitin Verma (1009020)</v>
      </c>
      <c r="B21" t="str">
        <f t="shared" si="5"/>
        <v>Nitin Verma</v>
      </c>
      <c r="C21" s="7">
        <f t="shared" si="0"/>
        <v>0.33232638888888888</v>
      </c>
      <c r="D21" s="7">
        <f t="shared" si="1"/>
        <v>0.17719907407407406</v>
      </c>
      <c r="E21" s="7">
        <f t="shared" si="2"/>
        <v>7.2511574074074076E-2</v>
      </c>
      <c r="F21">
        <f t="shared" si="3"/>
        <v>68</v>
      </c>
      <c r="G21" s="8">
        <f t="shared" si="4"/>
        <v>0.49819999999999998</v>
      </c>
    </row>
    <row r="22" spans="1:7" x14ac:dyDescent="0.3">
      <c r="A22" t="str">
        <f>break!A22</f>
        <v>Kajal Joshi (1009021)</v>
      </c>
      <c r="B22" t="str">
        <f t="shared" si="5"/>
        <v>Kajal Joshi</v>
      </c>
      <c r="C22" s="7">
        <f t="shared" si="0"/>
        <v>0.34881944444444446</v>
      </c>
      <c r="D22" s="7">
        <f t="shared" si="1"/>
        <v>0.2129861111111111</v>
      </c>
      <c r="E22" s="7">
        <f t="shared" si="2"/>
        <v>9.6932870370370364E-2</v>
      </c>
      <c r="F22">
        <f t="shared" si="3"/>
        <v>109</v>
      </c>
      <c r="G22" s="8">
        <f t="shared" si="4"/>
        <v>0.59360000000000002</v>
      </c>
    </row>
    <row r="23" spans="1:7" x14ac:dyDescent="0.3">
      <c r="A23" t="str">
        <f>break!A23</f>
        <v>Manoj Singh (1009022)</v>
      </c>
      <c r="B23" t="str">
        <f t="shared" si="5"/>
        <v>Manoj Singh</v>
      </c>
      <c r="C23" s="7">
        <f t="shared" si="0"/>
        <v>0.33987268518518521</v>
      </c>
      <c r="D23" s="7">
        <f t="shared" si="1"/>
        <v>0.19187499999999999</v>
      </c>
      <c r="E23" s="7">
        <f t="shared" si="2"/>
        <v>5.2430555555555557E-2</v>
      </c>
      <c r="F23">
        <f t="shared" si="3"/>
        <v>79</v>
      </c>
      <c r="G23" s="8">
        <f t="shared" si="4"/>
        <v>0.54210000000000003</v>
      </c>
    </row>
    <row r="24" spans="1:7" x14ac:dyDescent="0.3">
      <c r="A24" t="str">
        <f>break!A24</f>
        <v>Pallavi Rana (1009023)</v>
      </c>
      <c r="B24" t="str">
        <f t="shared" si="5"/>
        <v>Pallavi Rana</v>
      </c>
      <c r="C24" s="7">
        <f t="shared" si="0"/>
        <v>0.34371527777777777</v>
      </c>
      <c r="D24" s="7">
        <f t="shared" si="1"/>
        <v>0.2005787037037037</v>
      </c>
      <c r="E24" s="7">
        <f t="shared" si="2"/>
        <v>6.1226851851851852E-2</v>
      </c>
      <c r="F24">
        <f t="shared" si="3"/>
        <v>91</v>
      </c>
      <c r="G24" s="8">
        <f t="shared" si="4"/>
        <v>0.56720000000000004</v>
      </c>
    </row>
    <row r="25" spans="1:7" x14ac:dyDescent="0.3">
      <c r="A25" t="str">
        <f>break!A25</f>
        <v>Vikas Chauhan (1009024)</v>
      </c>
      <c r="B25" t="str">
        <f t="shared" si="5"/>
        <v>Vikas Chauhan</v>
      </c>
      <c r="C25" s="7">
        <f t="shared" si="0"/>
        <v>0.33796296296296297</v>
      </c>
      <c r="D25" s="7">
        <f t="shared" si="1"/>
        <v>0.18440972222222221</v>
      </c>
      <c r="E25" s="7">
        <f t="shared" si="2"/>
        <v>5.3703703703703705E-2</v>
      </c>
      <c r="F25">
        <f t="shared" si="3"/>
        <v>74</v>
      </c>
      <c r="G25" s="8">
        <f t="shared" si="4"/>
        <v>0.51359999999999995</v>
      </c>
    </row>
    <row r="26" spans="1:7" x14ac:dyDescent="0.3">
      <c r="A26" t="str">
        <f>break!A26</f>
        <v>Shreya Negi (1009025)</v>
      </c>
      <c r="B26" t="str">
        <f t="shared" si="5"/>
        <v>Shreya Negi</v>
      </c>
      <c r="C26" s="7">
        <f t="shared" si="0"/>
        <v>0.34666666666666668</v>
      </c>
      <c r="D26" s="7">
        <f t="shared" si="1"/>
        <v>0.20988425925925927</v>
      </c>
      <c r="E26" s="7">
        <f t="shared" si="2"/>
        <v>4.8148148148148148E-2</v>
      </c>
      <c r="F26">
        <f t="shared" si="3"/>
        <v>102</v>
      </c>
      <c r="G26" s="8">
        <f t="shared" si="4"/>
        <v>0.58930000000000005</v>
      </c>
    </row>
    <row r="27" spans="1:7" x14ac:dyDescent="0.3">
      <c r="A27" t="str">
        <f>break!A27</f>
        <v>Ankit Kumar (1009026)</v>
      </c>
      <c r="B27" t="str">
        <f t="shared" si="5"/>
        <v>Ankit Kumar</v>
      </c>
      <c r="C27" s="7">
        <f t="shared" si="0"/>
        <v>0.33600694444444446</v>
      </c>
      <c r="D27" s="7">
        <f t="shared" si="1"/>
        <v>0.18171296296296297</v>
      </c>
      <c r="E27" s="7">
        <f t="shared" si="2"/>
        <v>5.3240740740740741E-2</v>
      </c>
      <c r="F27">
        <f t="shared" si="3"/>
        <v>70</v>
      </c>
      <c r="G27" s="8">
        <f t="shared" si="4"/>
        <v>0.50719999999999998</v>
      </c>
    </row>
    <row r="28" spans="1:7" x14ac:dyDescent="0.3">
      <c r="A28" t="str">
        <f>break!A28</f>
        <v>Muskan Bisht (1009027)</v>
      </c>
      <c r="B28" t="str">
        <f t="shared" si="5"/>
        <v>Muskan Bisht</v>
      </c>
      <c r="C28" s="7">
        <f t="shared" si="0"/>
        <v>0.34416666666666668</v>
      </c>
      <c r="D28" s="7">
        <f t="shared" si="1"/>
        <v>0.20449074074074075</v>
      </c>
      <c r="E28" s="7">
        <f t="shared" si="2"/>
        <v>7.7372685185185183E-2</v>
      </c>
      <c r="F28">
        <f t="shared" si="3"/>
        <v>95</v>
      </c>
      <c r="G28" s="8">
        <f t="shared" si="4"/>
        <v>0.57250000000000001</v>
      </c>
    </row>
    <row r="29" spans="1:7" x14ac:dyDescent="0.3">
      <c r="A29" t="str">
        <f>break!A29</f>
        <v>Saurabh Sharma (1009028)</v>
      </c>
      <c r="B29" t="str">
        <f t="shared" si="5"/>
        <v>Saurabh Sharma</v>
      </c>
      <c r="C29" s="7">
        <f t="shared" si="0"/>
        <v>0.33912037037037035</v>
      </c>
      <c r="D29" s="7">
        <f t="shared" si="1"/>
        <v>0.1897800925925926</v>
      </c>
      <c r="E29" s="7">
        <f t="shared" si="2"/>
        <v>6.1516203703703705E-2</v>
      </c>
      <c r="F29">
        <f t="shared" si="3"/>
        <v>78</v>
      </c>
      <c r="G29" s="8">
        <f t="shared" si="4"/>
        <v>0.53180000000000005</v>
      </c>
    </row>
    <row r="30" spans="1:7" x14ac:dyDescent="0.3">
      <c r="A30" t="str">
        <f>break!A30</f>
        <v>Tanya Gupta (1009029)</v>
      </c>
      <c r="B30" t="str">
        <f t="shared" si="5"/>
        <v>Tanya Gupta</v>
      </c>
      <c r="C30" s="7">
        <f t="shared" si="0"/>
        <v>0.34797453703703701</v>
      </c>
      <c r="D30" s="7">
        <f t="shared" si="1"/>
        <v>0.21152777777777779</v>
      </c>
      <c r="E30" s="7">
        <f t="shared" si="2"/>
        <v>5.0173611111111113E-2</v>
      </c>
      <c r="F30">
        <f t="shared" si="3"/>
        <v>107</v>
      </c>
      <c r="G30" s="8">
        <f t="shared" si="4"/>
        <v>0.5958</v>
      </c>
    </row>
    <row r="31" spans="1:7" x14ac:dyDescent="0.3">
      <c r="A31" t="str">
        <f>break!A31</f>
        <v>Yash Mehta (1009030)</v>
      </c>
      <c r="B31" t="str">
        <f t="shared" si="5"/>
        <v>Yash Mehta</v>
      </c>
      <c r="C31" s="7">
        <f t="shared" si="0"/>
        <v>0.34076388888888887</v>
      </c>
      <c r="D31" s="7">
        <f t="shared" si="1"/>
        <v>0.19542824074074075</v>
      </c>
      <c r="E31" s="7">
        <f t="shared" si="2"/>
        <v>5.3935185185185183E-2</v>
      </c>
      <c r="F31">
        <f t="shared" si="3"/>
        <v>84</v>
      </c>
      <c r="G31" s="8">
        <f t="shared" si="4"/>
        <v>0.5504</v>
      </c>
    </row>
    <row r="32" spans="1:7" x14ac:dyDescent="0.3">
      <c r="A32" t="str">
        <f>break!A32</f>
        <v>Riya Kapoor (1009031)</v>
      </c>
      <c r="B32" t="str">
        <f t="shared" si="5"/>
        <v>Riya Kapoor</v>
      </c>
      <c r="C32" s="7">
        <f t="shared" si="0"/>
        <v>0.34465277777777775</v>
      </c>
      <c r="D32" s="7">
        <f t="shared" si="1"/>
        <v>0.20636574074074074</v>
      </c>
      <c r="E32" s="7">
        <f t="shared" si="2"/>
        <v>4.7337962962962964E-2</v>
      </c>
      <c r="F32">
        <f t="shared" si="3"/>
        <v>97</v>
      </c>
      <c r="G32" s="8">
        <f t="shared" si="4"/>
        <v>0.57809999999999995</v>
      </c>
    </row>
    <row r="33" spans="1:7" x14ac:dyDescent="0.3">
      <c r="A33" t="str">
        <f>break!A33</f>
        <v>Abhishek Joshi (1009032)</v>
      </c>
      <c r="B33" t="str">
        <f t="shared" si="5"/>
        <v>Abhishek Joshi</v>
      </c>
      <c r="C33" s="7">
        <f t="shared" si="0"/>
        <v>0.33674768518518516</v>
      </c>
      <c r="D33" s="7">
        <f t="shared" si="1"/>
        <v>0.18524305555555556</v>
      </c>
      <c r="E33" s="7">
        <f t="shared" si="2"/>
        <v>5.451388888888889E-2</v>
      </c>
      <c r="F33">
        <f t="shared" si="3"/>
        <v>73</v>
      </c>
      <c r="G33" s="8">
        <f t="shared" si="4"/>
        <v>0.52429999999999999</v>
      </c>
    </row>
    <row r="34" spans="1:7" x14ac:dyDescent="0.3">
      <c r="A34" t="str">
        <f>break!A34</f>
        <v>Komal Verma (1009033)</v>
      </c>
      <c r="B34" t="str">
        <f t="shared" si="5"/>
        <v>Komal Verma</v>
      </c>
      <c r="C34" s="7">
        <f t="shared" ref="C34:C65" si="6">VLOOKUP(A34,edata,2,0)</f>
        <v>0.34618055555555555</v>
      </c>
      <c r="D34" s="7">
        <f t="shared" ref="D34:D65" si="7">VLOOKUP(A34,edata,3,0)</f>
        <v>0.2089351851851852</v>
      </c>
      <c r="E34" s="7">
        <f t="shared" ref="E34:E65" si="8">VLOOKUP(A34,break,9,0)</f>
        <v>5.3935185185185183E-2</v>
      </c>
      <c r="F34">
        <f t="shared" ref="F34:F65" si="9">VLOOKUP(A34,edata,4,0)</f>
        <v>101</v>
      </c>
      <c r="G34" s="8">
        <f t="shared" ref="G34:G65" si="10">VLOOKUP(A34,edata,6,0)</f>
        <v>0.5867</v>
      </c>
    </row>
    <row r="35" spans="1:7" x14ac:dyDescent="0.3">
      <c r="A35" t="str">
        <f>break!A35</f>
        <v>Rohit Rawat (1009034)</v>
      </c>
      <c r="B35" t="str">
        <f t="shared" si="5"/>
        <v>Rohit Rawat</v>
      </c>
      <c r="C35" s="7">
        <f t="shared" si="6"/>
        <v>0.33833333333333332</v>
      </c>
      <c r="D35" s="7">
        <f t="shared" si="7"/>
        <v>0.18842592592592591</v>
      </c>
      <c r="E35" s="7">
        <f t="shared" si="8"/>
        <v>5.1388888888888887E-2</v>
      </c>
      <c r="F35">
        <f t="shared" si="9"/>
        <v>77</v>
      </c>
      <c r="G35" s="8">
        <f t="shared" si="10"/>
        <v>0.53049999999999997</v>
      </c>
    </row>
    <row r="36" spans="1:7" x14ac:dyDescent="0.3">
      <c r="A36" t="str">
        <f>break!A36</f>
        <v>Sonia Sharma (1009035)</v>
      </c>
      <c r="B36" t="str">
        <f t="shared" si="5"/>
        <v>Sonia Sharma</v>
      </c>
      <c r="C36" s="7">
        <f t="shared" si="6"/>
        <v>0.34775462962962961</v>
      </c>
      <c r="D36" s="7">
        <f t="shared" si="7"/>
        <v>0.21201388888888889</v>
      </c>
      <c r="E36" s="7">
        <f t="shared" si="8"/>
        <v>7.3263888888888892E-2</v>
      </c>
      <c r="F36">
        <f t="shared" si="9"/>
        <v>108</v>
      </c>
      <c r="G36" s="8">
        <f t="shared" si="10"/>
        <v>0.59119999999999995</v>
      </c>
    </row>
    <row r="37" spans="1:7" x14ac:dyDescent="0.3">
      <c r="A37" t="str">
        <f>break!A37</f>
        <v>Aakash Negi (1009036)</v>
      </c>
      <c r="B37" t="str">
        <f t="shared" si="5"/>
        <v>Aakash Negi</v>
      </c>
      <c r="C37" s="7">
        <f t="shared" si="6"/>
        <v>0.34195601851851853</v>
      </c>
      <c r="D37" s="7">
        <f t="shared" si="7"/>
        <v>0.198125</v>
      </c>
      <c r="E37" s="7">
        <f t="shared" si="8"/>
        <v>0.10034722222222223</v>
      </c>
      <c r="F37">
        <f t="shared" si="9"/>
        <v>86</v>
      </c>
      <c r="G37" s="8">
        <f t="shared" si="10"/>
        <v>0.55420000000000003</v>
      </c>
    </row>
    <row r="38" spans="1:7" x14ac:dyDescent="0.3">
      <c r="A38" t="str">
        <f>break!A38</f>
        <v>Nidhi Bisht (1009037)</v>
      </c>
      <c r="B38" t="str">
        <f t="shared" si="5"/>
        <v>Nidhi Bisht</v>
      </c>
      <c r="C38" s="7">
        <f t="shared" si="6"/>
        <v>0.33796296296296297</v>
      </c>
      <c r="D38" s="7">
        <f t="shared" si="7"/>
        <v>0.18744212962962964</v>
      </c>
      <c r="E38" s="7">
        <f t="shared" si="8"/>
        <v>5.4340277777777779E-2</v>
      </c>
      <c r="F38">
        <f t="shared" si="9"/>
        <v>75</v>
      </c>
      <c r="G38" s="8">
        <f t="shared" si="10"/>
        <v>0.52359999999999995</v>
      </c>
    </row>
    <row r="39" spans="1:7" x14ac:dyDescent="0.3">
      <c r="A39" t="str">
        <f>break!A39</f>
        <v>Vivek Kumar (1009038)</v>
      </c>
      <c r="B39" t="str">
        <f t="shared" si="5"/>
        <v>Vivek Kumar</v>
      </c>
      <c r="C39" s="7">
        <f t="shared" si="6"/>
        <v>0.34600694444444446</v>
      </c>
      <c r="D39" s="7">
        <f t="shared" si="7"/>
        <v>0.20951388888888889</v>
      </c>
      <c r="E39" s="7">
        <f t="shared" si="8"/>
        <v>6.1689814814814815E-2</v>
      </c>
      <c r="F39">
        <f t="shared" si="9"/>
        <v>103</v>
      </c>
      <c r="G39" s="8">
        <f t="shared" si="10"/>
        <v>0.58750000000000002</v>
      </c>
    </row>
    <row r="40" spans="1:7" x14ac:dyDescent="0.3">
      <c r="A40" t="str">
        <f>break!A40</f>
        <v>Megha Rana (1009039)</v>
      </c>
      <c r="B40" t="str">
        <f t="shared" si="5"/>
        <v>Megha Rana</v>
      </c>
      <c r="C40" s="7">
        <f t="shared" si="6"/>
        <v>0.34025462962962966</v>
      </c>
      <c r="D40" s="7">
        <f t="shared" si="7"/>
        <v>0.19259259259259259</v>
      </c>
      <c r="E40" s="7">
        <f t="shared" si="8"/>
        <v>5.4224537037037036E-2</v>
      </c>
      <c r="F40">
        <f t="shared" si="9"/>
        <v>80</v>
      </c>
      <c r="G40" s="8">
        <f t="shared" si="10"/>
        <v>0.54179999999999995</v>
      </c>
    </row>
    <row r="41" spans="1:7" x14ac:dyDescent="0.3">
      <c r="A41" t="str">
        <f>break!A41</f>
        <v>Tarun Chauhan (1009040)</v>
      </c>
      <c r="B41" t="str">
        <f t="shared" si="5"/>
        <v>Tarun Chauhan</v>
      </c>
      <c r="C41" s="7">
        <f t="shared" si="6"/>
        <v>0.34803240740740743</v>
      </c>
      <c r="D41" s="7">
        <f t="shared" si="7"/>
        <v>0.21284722222222222</v>
      </c>
      <c r="E41" s="7">
        <f t="shared" si="8"/>
        <v>4.8726851851851855E-2</v>
      </c>
      <c r="F41">
        <f t="shared" si="9"/>
        <v>110</v>
      </c>
      <c r="G41" s="8">
        <f t="shared" si="10"/>
        <v>0.5948</v>
      </c>
    </row>
    <row r="42" spans="1:7" x14ac:dyDescent="0.3">
      <c r="A42" t="str">
        <f>break!A42</f>
        <v>Pooja Rawat (1009041)</v>
      </c>
      <c r="B42" t="str">
        <f t="shared" si="5"/>
        <v>Pooja Rawat</v>
      </c>
      <c r="C42" s="7">
        <f t="shared" si="6"/>
        <v>0.33706018518518521</v>
      </c>
      <c r="D42" s="7">
        <f t="shared" si="7"/>
        <v>0.18449074074074073</v>
      </c>
      <c r="E42" s="7">
        <f t="shared" si="8"/>
        <v>5.4050925925925926E-2</v>
      </c>
      <c r="F42">
        <f t="shared" si="9"/>
        <v>71</v>
      </c>
      <c r="G42" s="8">
        <f t="shared" si="10"/>
        <v>0.51949999999999996</v>
      </c>
    </row>
    <row r="43" spans="1:7" x14ac:dyDescent="0.3">
      <c r="A43" t="str">
        <f>break!A43</f>
        <v>Rajat Singh (1009042)</v>
      </c>
      <c r="B43" t="str">
        <f t="shared" si="5"/>
        <v>Rajat Singh</v>
      </c>
      <c r="C43" s="7">
        <f t="shared" si="6"/>
        <v>0.34554398148148147</v>
      </c>
      <c r="D43" s="7">
        <f t="shared" si="7"/>
        <v>0.20708333333333334</v>
      </c>
      <c r="E43" s="7">
        <f t="shared" si="8"/>
        <v>7.7893518518518515E-2</v>
      </c>
      <c r="F43">
        <f t="shared" si="9"/>
        <v>99</v>
      </c>
      <c r="G43" s="8">
        <f t="shared" si="10"/>
        <v>0.58120000000000005</v>
      </c>
    </row>
    <row r="44" spans="1:7" x14ac:dyDescent="0.3">
      <c r="A44" t="str">
        <f>break!A44</f>
        <v>Kritika Gupta (1009043)</v>
      </c>
      <c r="B44" t="str">
        <f t="shared" si="5"/>
        <v>Kritika Gupta</v>
      </c>
      <c r="C44" s="7">
        <f t="shared" si="6"/>
        <v>0.33940972222222221</v>
      </c>
      <c r="D44" s="7">
        <f t="shared" si="7"/>
        <v>0.19091435185185185</v>
      </c>
      <c r="E44" s="7">
        <f t="shared" si="8"/>
        <v>6.2152777777777779E-2</v>
      </c>
      <c r="F44">
        <f t="shared" si="9"/>
        <v>78</v>
      </c>
      <c r="G44" s="8">
        <f t="shared" si="10"/>
        <v>0.53410000000000002</v>
      </c>
    </row>
    <row r="45" spans="1:7" x14ac:dyDescent="0.3">
      <c r="A45" t="str">
        <f>break!A45</f>
        <v>Manish Kumar (1009044)</v>
      </c>
      <c r="B45" t="str">
        <f t="shared" si="5"/>
        <v>Manish Kumar</v>
      </c>
      <c r="C45" s="7">
        <f t="shared" si="6"/>
        <v>0.3475462962962963</v>
      </c>
      <c r="D45" s="7">
        <f t="shared" si="7"/>
        <v>0.21087962962962964</v>
      </c>
      <c r="E45" s="7">
        <f t="shared" si="8"/>
        <v>4.988425925925926E-2</v>
      </c>
      <c r="F45">
        <f t="shared" si="9"/>
        <v>106</v>
      </c>
      <c r="G45" s="8">
        <f t="shared" si="10"/>
        <v>0.59060000000000001</v>
      </c>
    </row>
    <row r="46" spans="1:7" x14ac:dyDescent="0.3">
      <c r="A46" t="str">
        <f>break!A46</f>
        <v>Sneha Joshi (1009045)</v>
      </c>
      <c r="B46" t="str">
        <f t="shared" si="5"/>
        <v>Sneha Joshi</v>
      </c>
      <c r="C46" s="7">
        <f t="shared" si="6"/>
        <v>0.34114583333333331</v>
      </c>
      <c r="D46" s="7">
        <f t="shared" si="7"/>
        <v>0.19618055555555555</v>
      </c>
      <c r="E46" s="7">
        <f t="shared" si="8"/>
        <v>5.451388888888889E-2</v>
      </c>
      <c r="F46">
        <f t="shared" si="9"/>
        <v>83</v>
      </c>
      <c r="G46" s="8">
        <f t="shared" si="10"/>
        <v>0.54820000000000002</v>
      </c>
    </row>
    <row r="47" spans="1:7" x14ac:dyDescent="0.3">
      <c r="A47" t="str">
        <f>break!A47</f>
        <v>Ananya Sharma (1009046)</v>
      </c>
      <c r="B47" t="str">
        <f t="shared" si="5"/>
        <v>Ananya Sharma</v>
      </c>
      <c r="C47" s="7">
        <f t="shared" si="6"/>
        <v>0.3470138888888889</v>
      </c>
      <c r="D47" s="7">
        <f t="shared" si="7"/>
        <v>0.20850694444444445</v>
      </c>
      <c r="E47" s="7">
        <f t="shared" si="8"/>
        <v>7.7893518518518515E-2</v>
      </c>
      <c r="F47">
        <f t="shared" si="9"/>
        <v>101</v>
      </c>
      <c r="G47" s="8">
        <f t="shared" si="10"/>
        <v>0.58630000000000004</v>
      </c>
    </row>
    <row r="48" spans="1:7" x14ac:dyDescent="0.3">
      <c r="A48" t="str">
        <f>break!A48</f>
        <v>Rahul Bisht (1009047)</v>
      </c>
      <c r="B48" t="str">
        <f t="shared" si="5"/>
        <v>Rahul Bisht</v>
      </c>
      <c r="C48" s="7">
        <f t="shared" si="6"/>
        <v>0.33883101851851855</v>
      </c>
      <c r="D48" s="7">
        <f t="shared" si="7"/>
        <v>0.18805555555555556</v>
      </c>
      <c r="E48" s="7">
        <f t="shared" si="8"/>
        <v>5.3587962962962962E-2</v>
      </c>
      <c r="F48">
        <f t="shared" si="9"/>
        <v>76</v>
      </c>
      <c r="G48" s="8">
        <f t="shared" si="10"/>
        <v>0.52880000000000005</v>
      </c>
    </row>
    <row r="49" spans="1:7" x14ac:dyDescent="0.3">
      <c r="A49" t="str">
        <f>break!A49</f>
        <v>Kavya Verma (1009048)</v>
      </c>
      <c r="B49" t="str">
        <f t="shared" si="5"/>
        <v>Kavya Verma</v>
      </c>
      <c r="C49" s="7">
        <f t="shared" si="6"/>
        <v>0.34641203703703705</v>
      </c>
      <c r="D49" s="7">
        <f t="shared" si="7"/>
        <v>0.21001157407407409</v>
      </c>
      <c r="E49" s="7">
        <f t="shared" si="8"/>
        <v>5.5960648148148148E-2</v>
      </c>
      <c r="F49">
        <f t="shared" si="9"/>
        <v>104</v>
      </c>
      <c r="G49" s="8">
        <f t="shared" si="10"/>
        <v>0.58889999999999998</v>
      </c>
    </row>
    <row r="50" spans="1:7" x14ac:dyDescent="0.3">
      <c r="A50" t="str">
        <f>break!A50</f>
        <v>Mohit Rana (1009049)</v>
      </c>
      <c r="B50" t="str">
        <f t="shared" si="5"/>
        <v>Mohit Rana</v>
      </c>
      <c r="C50" s="7">
        <f t="shared" si="6"/>
        <v>0.34033564814814815</v>
      </c>
      <c r="D50" s="7">
        <f t="shared" si="7"/>
        <v>0.19319444444444445</v>
      </c>
      <c r="E50" s="7">
        <f t="shared" si="8"/>
        <v>7.2916666666666671E-2</v>
      </c>
      <c r="F50">
        <f t="shared" si="9"/>
        <v>81</v>
      </c>
      <c r="G50" s="8">
        <f t="shared" si="10"/>
        <v>0.54349999999999998</v>
      </c>
    </row>
    <row r="51" spans="1:7" x14ac:dyDescent="0.3">
      <c r="A51" t="str">
        <f>break!A51</f>
        <v>Sakshi Gupta (1009050)</v>
      </c>
      <c r="B51" t="str">
        <f t="shared" si="5"/>
        <v>Sakshi Gupta</v>
      </c>
      <c r="C51" s="7">
        <f t="shared" si="6"/>
        <v>0.34875</v>
      </c>
      <c r="D51" s="7">
        <f t="shared" si="7"/>
        <v>0.21325231481481483</v>
      </c>
      <c r="E51" s="7">
        <f t="shared" si="8"/>
        <v>6.2847222222222221E-2</v>
      </c>
      <c r="F51">
        <f t="shared" si="9"/>
        <v>111</v>
      </c>
      <c r="G51" s="8">
        <f t="shared" si="10"/>
        <v>0.59709999999999996</v>
      </c>
    </row>
    <row r="52" spans="1:7" x14ac:dyDescent="0.3">
      <c r="A52" t="str">
        <f>break!A52</f>
        <v>Harshit Sharma (1009051)</v>
      </c>
      <c r="B52" t="str">
        <f t="shared" si="5"/>
        <v>Harshit Sharma</v>
      </c>
      <c r="C52" s="7">
        <f t="shared" si="6"/>
        <v>0.3379050925925926</v>
      </c>
      <c r="D52" s="7">
        <f t="shared" si="7"/>
        <v>0.1857638888888889</v>
      </c>
      <c r="E52" s="7">
        <f t="shared" si="8"/>
        <v>4.6875E-2</v>
      </c>
      <c r="F52">
        <f t="shared" si="9"/>
        <v>72</v>
      </c>
      <c r="G52" s="8">
        <f t="shared" si="10"/>
        <v>0.52100000000000002</v>
      </c>
    </row>
    <row r="53" spans="1:7" x14ac:dyDescent="0.3">
      <c r="A53" t="str">
        <f>break!A53</f>
        <v>Anjali Rawat (1009052)</v>
      </c>
      <c r="B53" t="str">
        <f t="shared" si="5"/>
        <v>Anjali Rawat</v>
      </c>
      <c r="C53" s="7">
        <f t="shared" si="6"/>
        <v>0.34569444444444447</v>
      </c>
      <c r="D53" s="7">
        <f t="shared" si="7"/>
        <v>0.20581018518518518</v>
      </c>
      <c r="E53" s="7">
        <f t="shared" si="8"/>
        <v>5.4398148148148147E-2</v>
      </c>
      <c r="F53">
        <f t="shared" si="9"/>
        <v>96</v>
      </c>
      <c r="G53" s="8">
        <f t="shared" si="10"/>
        <v>0.57950000000000002</v>
      </c>
    </row>
    <row r="54" spans="1:7" x14ac:dyDescent="0.3">
      <c r="A54" t="str">
        <f>break!A54</f>
        <v>Vikas Gupta (1009053)</v>
      </c>
      <c r="B54" t="str">
        <f t="shared" si="5"/>
        <v>Vikas Gupta</v>
      </c>
      <c r="C54" s="7">
        <f t="shared" si="6"/>
        <v>0.33981481481481479</v>
      </c>
      <c r="D54" s="7">
        <f t="shared" si="7"/>
        <v>0.19114583333333332</v>
      </c>
      <c r="E54" s="7">
        <f t="shared" si="8"/>
        <v>6.070601851851852E-2</v>
      </c>
      <c r="F54">
        <f t="shared" si="9"/>
        <v>79</v>
      </c>
      <c r="G54" s="8">
        <f t="shared" si="10"/>
        <v>0.53580000000000005</v>
      </c>
    </row>
    <row r="55" spans="1:7" x14ac:dyDescent="0.3">
      <c r="A55" t="str">
        <f>break!A55</f>
        <v>Kritika Sharma (1009054)</v>
      </c>
      <c r="B55" t="str">
        <f t="shared" si="5"/>
        <v>Kritika Sharma</v>
      </c>
      <c r="C55" s="7">
        <f t="shared" si="6"/>
        <v>0.34797453703703701</v>
      </c>
      <c r="D55" s="7">
        <f t="shared" si="7"/>
        <v>0.21163194444444444</v>
      </c>
      <c r="E55" s="7">
        <f t="shared" si="8"/>
        <v>5.1099537037037034E-2</v>
      </c>
      <c r="F55">
        <f t="shared" si="9"/>
        <v>108</v>
      </c>
      <c r="G55" s="8">
        <f t="shared" si="10"/>
        <v>0.59219999999999995</v>
      </c>
    </row>
    <row r="56" spans="1:7" x14ac:dyDescent="0.3">
      <c r="A56" t="str">
        <f>break!A56</f>
        <v>Mohit Rawat (1009055)</v>
      </c>
      <c r="B56" t="str">
        <f t="shared" si="5"/>
        <v>Mohit Rawat</v>
      </c>
      <c r="C56" s="7">
        <f t="shared" si="6"/>
        <v>0.34212962962962962</v>
      </c>
      <c r="D56" s="7">
        <f t="shared" si="7"/>
        <v>0.19710648148148149</v>
      </c>
      <c r="E56" s="7">
        <f t="shared" si="8"/>
        <v>7.4826388888888887E-2</v>
      </c>
      <c r="F56">
        <f t="shared" si="9"/>
        <v>84</v>
      </c>
      <c r="G56" s="8">
        <f t="shared" si="10"/>
        <v>0.55030000000000001</v>
      </c>
    </row>
    <row r="57" spans="1:7" x14ac:dyDescent="0.3">
      <c r="A57" t="str">
        <f>break!A57</f>
        <v>Riya Verma (1009056)</v>
      </c>
      <c r="B57" t="str">
        <f t="shared" si="5"/>
        <v>Riya Verma</v>
      </c>
      <c r="C57" s="7">
        <f t="shared" si="6"/>
        <v>0.3439814814814815</v>
      </c>
      <c r="D57" s="7">
        <f t="shared" si="7"/>
        <v>0.20040509259259259</v>
      </c>
      <c r="E57" s="7">
        <f t="shared" si="8"/>
        <v>9.8495370370370372E-2</v>
      </c>
      <c r="F57">
        <f t="shared" si="9"/>
        <v>88</v>
      </c>
      <c r="G57" s="8">
        <f t="shared" si="10"/>
        <v>0.5585</v>
      </c>
    </row>
    <row r="58" spans="1:7" x14ac:dyDescent="0.3">
      <c r="A58" t="str">
        <f>break!A58</f>
        <v>Tarun Bisht (1009057)</v>
      </c>
      <c r="B58" t="str">
        <f t="shared" si="5"/>
        <v>Tarun Bisht</v>
      </c>
      <c r="C58" s="7">
        <f t="shared" si="6"/>
        <v>0.33871527777777777</v>
      </c>
      <c r="D58" s="7">
        <f t="shared" si="7"/>
        <v>0.18900462962962963</v>
      </c>
      <c r="E58" s="7">
        <f t="shared" si="8"/>
        <v>5.3761574074074073E-2</v>
      </c>
      <c r="F58">
        <f t="shared" si="9"/>
        <v>77</v>
      </c>
      <c r="G58" s="8">
        <f t="shared" si="10"/>
        <v>0.53120000000000001</v>
      </c>
    </row>
    <row r="59" spans="1:7" x14ac:dyDescent="0.3">
      <c r="A59" t="str">
        <f>break!A59</f>
        <v>Pallavi Sharma (1009058)</v>
      </c>
      <c r="B59" t="str">
        <f t="shared" si="5"/>
        <v>Pallavi Sharma</v>
      </c>
      <c r="C59" s="7">
        <f t="shared" si="6"/>
        <v>0.34687499999999999</v>
      </c>
      <c r="D59" s="7">
        <f t="shared" si="7"/>
        <v>0.20966435185185187</v>
      </c>
      <c r="E59" s="7">
        <f t="shared" si="8"/>
        <v>6.1863425925925926E-2</v>
      </c>
      <c r="F59">
        <f t="shared" si="9"/>
        <v>102</v>
      </c>
      <c r="G59" s="8">
        <f t="shared" si="10"/>
        <v>0.58699999999999997</v>
      </c>
    </row>
    <row r="60" spans="1:7" x14ac:dyDescent="0.3">
      <c r="A60" t="str">
        <f>break!A60</f>
        <v>Nitin Rana (1009059)</v>
      </c>
      <c r="B60" t="str">
        <f t="shared" si="5"/>
        <v>Nitin Rana</v>
      </c>
      <c r="C60" s="7">
        <f t="shared" si="6"/>
        <v>0.34045138888888887</v>
      </c>
      <c r="D60" s="7">
        <f t="shared" si="7"/>
        <v>0.19403935185185187</v>
      </c>
      <c r="E60" s="7">
        <f t="shared" si="8"/>
        <v>5.364583333333333E-2</v>
      </c>
      <c r="F60">
        <f t="shared" si="9"/>
        <v>82</v>
      </c>
      <c r="G60" s="8">
        <f t="shared" si="10"/>
        <v>0.54259999999999997</v>
      </c>
    </row>
    <row r="61" spans="1:7" x14ac:dyDescent="0.3">
      <c r="A61" t="str">
        <f>break!A61</f>
        <v>Sonia Gupta (1009060)</v>
      </c>
      <c r="B61" t="str">
        <f t="shared" si="5"/>
        <v>Sonia Gupta</v>
      </c>
      <c r="C61" s="7">
        <f t="shared" si="6"/>
        <v>0.34843750000000001</v>
      </c>
      <c r="D61" s="7">
        <f t="shared" si="7"/>
        <v>0.21203703703703702</v>
      </c>
      <c r="E61" s="7">
        <f t="shared" si="8"/>
        <v>4.8263888888888891E-2</v>
      </c>
      <c r="F61">
        <f t="shared" si="9"/>
        <v>109</v>
      </c>
      <c r="G61" s="8">
        <f t="shared" si="10"/>
        <v>0.59450000000000003</v>
      </c>
    </row>
    <row r="62" spans="1:7" x14ac:dyDescent="0.3">
      <c r="A62" t="str">
        <f>break!A62</f>
        <v>Deepak Sharma (1009061)</v>
      </c>
      <c r="B62" t="str">
        <f t="shared" si="5"/>
        <v>Deepak Sharma</v>
      </c>
      <c r="C62" s="7">
        <f t="shared" si="6"/>
        <v>0.33738425925925924</v>
      </c>
      <c r="D62" s="7">
        <f t="shared" si="7"/>
        <v>0.18657407407407409</v>
      </c>
      <c r="E62" s="7">
        <f t="shared" si="8"/>
        <v>5.3530092592592594E-2</v>
      </c>
      <c r="F62">
        <f t="shared" si="9"/>
        <v>73</v>
      </c>
      <c r="G62" s="8">
        <f t="shared" si="10"/>
        <v>0.52239999999999998</v>
      </c>
    </row>
    <row r="63" spans="1:7" x14ac:dyDescent="0.3">
      <c r="A63" t="str">
        <f>break!A63</f>
        <v>Kajal Rawat (1009062)</v>
      </c>
      <c r="B63" t="str">
        <f t="shared" si="5"/>
        <v>Kajal Rawat</v>
      </c>
      <c r="C63" s="7">
        <f t="shared" si="6"/>
        <v>0.34525462962962961</v>
      </c>
      <c r="D63" s="7">
        <f t="shared" si="7"/>
        <v>0.20538194444444444</v>
      </c>
      <c r="E63" s="7">
        <f t="shared" si="8"/>
        <v>7.8414351851851846E-2</v>
      </c>
      <c r="F63">
        <f t="shared" si="9"/>
        <v>95</v>
      </c>
      <c r="G63" s="8">
        <f t="shared" si="10"/>
        <v>0.5776</v>
      </c>
    </row>
    <row r="64" spans="1:7" x14ac:dyDescent="0.3">
      <c r="A64" t="str">
        <f>break!A64</f>
        <v>Rahul Verma (1009063)</v>
      </c>
      <c r="B64" t="str">
        <f t="shared" si="5"/>
        <v>Rahul Verma</v>
      </c>
      <c r="C64" s="7">
        <f t="shared" si="6"/>
        <v>0.33929398148148149</v>
      </c>
      <c r="D64" s="7">
        <f t="shared" si="7"/>
        <v>0.19050925925925927</v>
      </c>
      <c r="E64" s="7">
        <f t="shared" si="8"/>
        <v>6.2152777777777779E-2</v>
      </c>
      <c r="F64">
        <f t="shared" si="9"/>
        <v>78</v>
      </c>
      <c r="G64" s="8">
        <f t="shared" si="10"/>
        <v>0.53459999999999996</v>
      </c>
    </row>
    <row r="65" spans="1:7" x14ac:dyDescent="0.3">
      <c r="A65" t="str">
        <f>break!A65</f>
        <v>Sneha Bisht (1009064)</v>
      </c>
      <c r="B65" t="str">
        <f t="shared" si="5"/>
        <v>Sneha Bisht</v>
      </c>
      <c r="C65" s="7">
        <f t="shared" si="6"/>
        <v>0.34785879629629629</v>
      </c>
      <c r="D65" s="7">
        <f t="shared" si="7"/>
        <v>0.21099537037037036</v>
      </c>
      <c r="E65" s="7">
        <f t="shared" si="8"/>
        <v>4.9942129629629628E-2</v>
      </c>
      <c r="F65">
        <f t="shared" si="9"/>
        <v>107</v>
      </c>
      <c r="G65" s="8">
        <f t="shared" si="10"/>
        <v>0.59079999999999999</v>
      </c>
    </row>
    <row r="66" spans="1:7" x14ac:dyDescent="0.3">
      <c r="A66" t="str">
        <f>break!A66</f>
        <v>Arjun Rana (1009065)</v>
      </c>
      <c r="B66" t="str">
        <f t="shared" si="5"/>
        <v>Arjun Rana</v>
      </c>
      <c r="C66" s="7">
        <f t="shared" ref="C66:C97" si="11">VLOOKUP(A66,edata,2,0)</f>
        <v>0.34143518518518517</v>
      </c>
      <c r="D66" s="7">
        <f t="shared" ref="D66:D97" si="12">VLOOKUP(A66,edata,3,0)</f>
        <v>0.19600694444444444</v>
      </c>
      <c r="E66" s="7">
        <f t="shared" ref="E66:E97" si="13">VLOOKUP(A66,break,9,0)</f>
        <v>5.4050925925925926E-2</v>
      </c>
      <c r="F66">
        <f t="shared" ref="F66:F97" si="14">VLOOKUP(A66,edata,4,0)</f>
        <v>83</v>
      </c>
      <c r="G66" s="8">
        <f t="shared" ref="G66:G97" si="15">VLOOKUP(A66,edata,6,0)</f>
        <v>0.54700000000000004</v>
      </c>
    </row>
    <row r="67" spans="1:7" x14ac:dyDescent="0.3">
      <c r="A67" t="str">
        <f>break!A67</f>
        <v>Ananya Gupta (1009066)</v>
      </c>
      <c r="B67" t="str">
        <f t="shared" ref="B67:B130" si="16">LEFT(A67,FIND("(",A67)-2)</f>
        <v>Ananya Gupta</v>
      </c>
      <c r="C67" s="7">
        <f t="shared" si="11"/>
        <v>0.34612268518518519</v>
      </c>
      <c r="D67" s="7">
        <f t="shared" si="12"/>
        <v>0.20879629629629629</v>
      </c>
      <c r="E67" s="7">
        <f t="shared" si="13"/>
        <v>6.128472222222222E-2</v>
      </c>
      <c r="F67">
        <f t="shared" si="14"/>
        <v>100</v>
      </c>
      <c r="G67" s="8">
        <f t="shared" si="15"/>
        <v>0.58550000000000002</v>
      </c>
    </row>
    <row r="68" spans="1:7" x14ac:dyDescent="0.3">
      <c r="A68" t="str">
        <f>break!A68</f>
        <v>Vivek Sharma (1009067)</v>
      </c>
      <c r="B68" t="str">
        <f t="shared" si="16"/>
        <v>Vivek Sharma</v>
      </c>
      <c r="C68" s="7">
        <f t="shared" si="11"/>
        <v>0.33813657407407405</v>
      </c>
      <c r="D68" s="7">
        <f t="shared" si="12"/>
        <v>0.18859953703703702</v>
      </c>
      <c r="E68" s="7">
        <f t="shared" si="13"/>
        <v>5.451388888888889E-2</v>
      </c>
      <c r="F68">
        <f t="shared" si="14"/>
        <v>75</v>
      </c>
      <c r="G68" s="8">
        <f t="shared" si="15"/>
        <v>0.52810000000000001</v>
      </c>
    </row>
    <row r="69" spans="1:7" x14ac:dyDescent="0.3">
      <c r="A69" t="str">
        <f>break!A69</f>
        <v>Ritika Rawat (1009068)</v>
      </c>
      <c r="B69" t="str">
        <f t="shared" si="16"/>
        <v>Ritika Rawat</v>
      </c>
      <c r="C69" s="7">
        <f t="shared" si="11"/>
        <v>0.34664351851851855</v>
      </c>
      <c r="D69" s="7">
        <f t="shared" si="12"/>
        <v>0.20978009259259259</v>
      </c>
      <c r="E69" s="7">
        <f t="shared" si="13"/>
        <v>5.5439814814814817E-2</v>
      </c>
      <c r="F69">
        <f t="shared" si="14"/>
        <v>103</v>
      </c>
      <c r="G69" s="8">
        <f t="shared" si="15"/>
        <v>0.58819999999999995</v>
      </c>
    </row>
    <row r="70" spans="1:7" x14ac:dyDescent="0.3">
      <c r="A70" t="str">
        <f>break!A70</f>
        <v>Mohit Gupta (1009069)</v>
      </c>
      <c r="B70" t="str">
        <f t="shared" si="16"/>
        <v>Mohit Gupta</v>
      </c>
      <c r="C70" s="7">
        <f t="shared" si="11"/>
        <v>0.34010416666666665</v>
      </c>
      <c r="D70" s="7">
        <f t="shared" si="12"/>
        <v>0.19293981481481481</v>
      </c>
      <c r="E70" s="7">
        <f t="shared" si="13"/>
        <v>7.4016203703703709E-2</v>
      </c>
      <c r="F70">
        <f t="shared" si="14"/>
        <v>80</v>
      </c>
      <c r="G70" s="8">
        <f t="shared" si="15"/>
        <v>0.54100000000000004</v>
      </c>
    </row>
    <row r="71" spans="1:7" x14ac:dyDescent="0.3">
      <c r="A71" t="str">
        <f>break!A71</f>
        <v>Sakshi Verma (1009070)</v>
      </c>
      <c r="B71" t="str">
        <f t="shared" si="16"/>
        <v>Sakshi Verma</v>
      </c>
      <c r="C71" s="7">
        <f t="shared" si="11"/>
        <v>0.34866898148148145</v>
      </c>
      <c r="D71" s="7">
        <f t="shared" si="12"/>
        <v>0.21302083333333333</v>
      </c>
      <c r="E71" s="7">
        <f t="shared" si="13"/>
        <v>6.267361111111111E-2</v>
      </c>
      <c r="F71">
        <f t="shared" si="14"/>
        <v>110</v>
      </c>
      <c r="G71" s="8">
        <f t="shared" si="15"/>
        <v>0.59630000000000005</v>
      </c>
    </row>
    <row r="72" spans="1:7" x14ac:dyDescent="0.3">
      <c r="A72" t="str">
        <f>break!A72</f>
        <v>Harsh Rana (1009071)</v>
      </c>
      <c r="B72" t="str">
        <f t="shared" si="16"/>
        <v>Harsh Rana</v>
      </c>
      <c r="C72" s="7">
        <f t="shared" si="11"/>
        <v>0.33842592592592591</v>
      </c>
      <c r="D72" s="7">
        <f t="shared" si="12"/>
        <v>0.18709490740740742</v>
      </c>
      <c r="E72" s="7">
        <f t="shared" si="13"/>
        <v>4.7164351851851853E-2</v>
      </c>
      <c r="F72">
        <f t="shared" si="14"/>
        <v>74</v>
      </c>
      <c r="G72" s="8">
        <f t="shared" si="15"/>
        <v>0.52390000000000003</v>
      </c>
    </row>
    <row r="73" spans="1:7" x14ac:dyDescent="0.3">
      <c r="A73" t="str">
        <f>break!A73</f>
        <v>Pooja Sharma (1009072)</v>
      </c>
      <c r="B73" t="str">
        <f t="shared" si="16"/>
        <v>Pooja Sharma</v>
      </c>
      <c r="C73" s="7">
        <f t="shared" si="11"/>
        <v>0.3449652777777778</v>
      </c>
      <c r="D73" s="7">
        <f t="shared" si="12"/>
        <v>0.20428240740740741</v>
      </c>
      <c r="E73" s="7">
        <f t="shared" si="13"/>
        <v>5.5034722222222221E-2</v>
      </c>
      <c r="F73">
        <f t="shared" si="14"/>
        <v>94</v>
      </c>
      <c r="G73" s="8">
        <f t="shared" si="15"/>
        <v>0.57609999999999995</v>
      </c>
    </row>
    <row r="74" spans="1:7" x14ac:dyDescent="0.3">
      <c r="A74" t="str">
        <f>break!A74</f>
        <v>Aman Bisht (1009073)</v>
      </c>
      <c r="B74" t="str">
        <f t="shared" si="16"/>
        <v>Aman Bisht</v>
      </c>
      <c r="C74" s="7">
        <f t="shared" si="11"/>
        <v>0.33900462962962963</v>
      </c>
      <c r="D74" s="7">
        <f t="shared" si="12"/>
        <v>0.19010416666666666</v>
      </c>
      <c r="E74" s="7">
        <f t="shared" si="13"/>
        <v>5.9895833333333336E-2</v>
      </c>
      <c r="F74">
        <f t="shared" si="14"/>
        <v>77</v>
      </c>
      <c r="G74" s="8">
        <f t="shared" si="15"/>
        <v>0.53269999999999995</v>
      </c>
    </row>
    <row r="75" spans="1:7" x14ac:dyDescent="0.3">
      <c r="A75" t="str">
        <f>break!A75</f>
        <v>Nidhi Verma (1009074)</v>
      </c>
      <c r="B75" t="str">
        <f t="shared" si="16"/>
        <v>Nidhi Verma</v>
      </c>
      <c r="C75" s="7">
        <f t="shared" si="11"/>
        <v>0.34762731481481479</v>
      </c>
      <c r="D75" s="7">
        <f t="shared" si="12"/>
        <v>0.21128472222222222</v>
      </c>
      <c r="E75" s="7">
        <f t="shared" si="13"/>
        <v>5.0925925925925923E-2</v>
      </c>
      <c r="F75">
        <f t="shared" si="14"/>
        <v>108</v>
      </c>
      <c r="G75" s="8">
        <f t="shared" si="15"/>
        <v>0.5917</v>
      </c>
    </row>
    <row r="76" spans="1:7" x14ac:dyDescent="0.3">
      <c r="A76" t="str">
        <f>break!A76</f>
        <v>Karan Rawat (1009075)</v>
      </c>
      <c r="B76" t="str">
        <f t="shared" si="16"/>
        <v>Karan Rawat</v>
      </c>
      <c r="C76" s="7">
        <f t="shared" si="11"/>
        <v>0.34160879629629631</v>
      </c>
      <c r="D76" s="7">
        <f t="shared" si="12"/>
        <v>0.19681712962962963</v>
      </c>
      <c r="E76" s="7">
        <f t="shared" si="13"/>
        <v>7.3842592592592599E-2</v>
      </c>
      <c r="F76">
        <f t="shared" si="14"/>
        <v>84</v>
      </c>
      <c r="G76" s="8">
        <f t="shared" si="15"/>
        <v>0.54910000000000003</v>
      </c>
    </row>
    <row r="77" spans="1:7" x14ac:dyDescent="0.3">
      <c r="A77" t="str">
        <f>break!A77</f>
        <v>Muskan Gupta (1009076)</v>
      </c>
      <c r="B77" t="str">
        <f t="shared" si="16"/>
        <v>Muskan Gupta</v>
      </c>
      <c r="C77" s="7">
        <f t="shared" si="11"/>
        <v>0.34606481481481483</v>
      </c>
      <c r="D77" s="7">
        <f t="shared" si="12"/>
        <v>0.20804398148148148</v>
      </c>
      <c r="E77" s="7">
        <f t="shared" si="13"/>
        <v>0.10150462962962963</v>
      </c>
      <c r="F77">
        <f t="shared" si="14"/>
        <v>99</v>
      </c>
      <c r="G77" s="8">
        <f t="shared" si="15"/>
        <v>0.58199999999999996</v>
      </c>
    </row>
    <row r="78" spans="1:7" x14ac:dyDescent="0.3">
      <c r="A78" t="str">
        <f>break!A78</f>
        <v>Rahul Sharma (1009077)</v>
      </c>
      <c r="B78" t="str">
        <f t="shared" si="16"/>
        <v>Rahul Sharma</v>
      </c>
      <c r="C78" s="7">
        <f t="shared" si="11"/>
        <v>0.33877314814814813</v>
      </c>
      <c r="D78" s="7">
        <f t="shared" si="12"/>
        <v>0.18883101851851852</v>
      </c>
      <c r="E78" s="7">
        <f t="shared" si="13"/>
        <v>5.2488425925925924E-2</v>
      </c>
      <c r="F78">
        <f t="shared" si="14"/>
        <v>76</v>
      </c>
      <c r="G78" s="8">
        <f t="shared" si="15"/>
        <v>0.52949999999999997</v>
      </c>
    </row>
    <row r="79" spans="1:7" x14ac:dyDescent="0.3">
      <c r="A79" t="str">
        <f>break!A79</f>
        <v>Komal Rana (1009078)</v>
      </c>
      <c r="B79" t="str">
        <f t="shared" si="16"/>
        <v>Komal Rana</v>
      </c>
      <c r="C79" s="7">
        <f t="shared" si="11"/>
        <v>0.34733796296296299</v>
      </c>
      <c r="D79" s="7">
        <f t="shared" si="12"/>
        <v>0.21070601851851853</v>
      </c>
      <c r="E79" s="7">
        <f t="shared" si="13"/>
        <v>6.1168981481481484E-2</v>
      </c>
      <c r="F79">
        <f t="shared" si="14"/>
        <v>106</v>
      </c>
      <c r="G79" s="8">
        <f t="shared" si="15"/>
        <v>0.59009999999999996</v>
      </c>
    </row>
    <row r="80" spans="1:7" x14ac:dyDescent="0.3">
      <c r="A80" t="str">
        <f>break!A80</f>
        <v>Deepika Bisht (1009079)</v>
      </c>
      <c r="B80" t="str">
        <f t="shared" si="16"/>
        <v>Deepika Bisht</v>
      </c>
      <c r="C80" s="7">
        <f t="shared" si="11"/>
        <v>0.34062500000000001</v>
      </c>
      <c r="D80" s="7">
        <f t="shared" si="12"/>
        <v>0.19386574074074073</v>
      </c>
      <c r="E80" s="7">
        <f t="shared" si="13"/>
        <v>5.364583333333333E-2</v>
      </c>
      <c r="F80">
        <f t="shared" si="14"/>
        <v>81</v>
      </c>
      <c r="G80" s="8">
        <f t="shared" si="15"/>
        <v>0.54290000000000005</v>
      </c>
    </row>
    <row r="81" spans="1:7" x14ac:dyDescent="0.3">
      <c r="A81" t="str">
        <f>break!A81</f>
        <v>Tarun Sharma (1009080)</v>
      </c>
      <c r="B81" t="str">
        <f t="shared" si="16"/>
        <v>Tarun Sharma</v>
      </c>
      <c r="C81" s="7">
        <f t="shared" si="11"/>
        <v>0.34855324074074073</v>
      </c>
      <c r="D81" s="7">
        <f t="shared" si="12"/>
        <v>0.21238425925925927</v>
      </c>
      <c r="E81" s="7">
        <f t="shared" si="13"/>
        <v>4.8437500000000001E-2</v>
      </c>
      <c r="F81">
        <f t="shared" si="14"/>
        <v>109</v>
      </c>
      <c r="G81" s="8">
        <f t="shared" si="15"/>
        <v>0.59519999999999995</v>
      </c>
    </row>
    <row r="82" spans="1:7" x14ac:dyDescent="0.3">
      <c r="A82" t="str">
        <f>break!A82</f>
        <v>Sneha Rawat (1009081)</v>
      </c>
      <c r="B82" t="str">
        <f t="shared" si="16"/>
        <v>Sneha Rawat</v>
      </c>
      <c r="C82" s="7">
        <f t="shared" si="11"/>
        <v>0.33773148148148147</v>
      </c>
      <c r="D82" s="7">
        <f t="shared" si="12"/>
        <v>0.18628472222222223</v>
      </c>
      <c r="E82" s="7">
        <f t="shared" si="13"/>
        <v>5.364583333333333E-2</v>
      </c>
      <c r="F82">
        <f t="shared" si="14"/>
        <v>73</v>
      </c>
      <c r="G82" s="8">
        <f t="shared" si="15"/>
        <v>0.52180000000000004</v>
      </c>
    </row>
    <row r="83" spans="1:7" x14ac:dyDescent="0.3">
      <c r="A83" t="str">
        <f>break!A83</f>
        <v>Rohit Gupta (1009082)</v>
      </c>
      <c r="B83" t="str">
        <f t="shared" si="16"/>
        <v>Rohit Gupta</v>
      </c>
      <c r="C83" s="7">
        <f t="shared" si="11"/>
        <v>0.34560185185185183</v>
      </c>
      <c r="D83" s="7">
        <f t="shared" si="12"/>
        <v>0.20561342592592594</v>
      </c>
      <c r="E83" s="7">
        <f t="shared" si="13"/>
        <v>7.7604166666666669E-2</v>
      </c>
      <c r="F83">
        <f t="shared" si="14"/>
        <v>96</v>
      </c>
      <c r="G83" s="8">
        <f t="shared" si="15"/>
        <v>0.57889999999999997</v>
      </c>
    </row>
    <row r="84" spans="1:7" x14ac:dyDescent="0.3">
      <c r="A84" t="str">
        <f>break!A84</f>
        <v>Kajal Verma (1009083)</v>
      </c>
      <c r="B84" t="str">
        <f t="shared" si="16"/>
        <v>Kajal Verma</v>
      </c>
      <c r="C84" s="7">
        <f t="shared" si="11"/>
        <v>0.33952546296296299</v>
      </c>
      <c r="D84" s="7">
        <f t="shared" si="12"/>
        <v>0.19074074074074074</v>
      </c>
      <c r="E84" s="7">
        <f t="shared" si="13"/>
        <v>6.2442129629629632E-2</v>
      </c>
      <c r="F84">
        <f t="shared" si="14"/>
        <v>78</v>
      </c>
      <c r="G84" s="8">
        <f t="shared" si="15"/>
        <v>0.53390000000000004</v>
      </c>
    </row>
    <row r="85" spans="1:7" x14ac:dyDescent="0.3">
      <c r="A85" t="str">
        <f>break!A85</f>
        <v>Ankit Rana (1009084)</v>
      </c>
      <c r="B85" t="str">
        <f t="shared" si="16"/>
        <v>Ankit Rana</v>
      </c>
      <c r="C85" s="7">
        <f t="shared" si="11"/>
        <v>0.34774305555555557</v>
      </c>
      <c r="D85" s="7">
        <f t="shared" si="12"/>
        <v>0.21116898148148147</v>
      </c>
      <c r="E85" s="7">
        <f t="shared" si="13"/>
        <v>5.0231481481481481E-2</v>
      </c>
      <c r="F85">
        <f t="shared" si="14"/>
        <v>107</v>
      </c>
      <c r="G85" s="8">
        <f t="shared" si="15"/>
        <v>0.59130000000000005</v>
      </c>
    </row>
    <row r="86" spans="1:7" x14ac:dyDescent="0.3">
      <c r="A86" t="str">
        <f>break!A86</f>
        <v>Priya Sharma (1009085)</v>
      </c>
      <c r="B86" t="str">
        <f t="shared" si="16"/>
        <v>Priya Sharma</v>
      </c>
      <c r="C86" s="7">
        <f t="shared" si="11"/>
        <v>0.34126157407407409</v>
      </c>
      <c r="D86" s="7">
        <f t="shared" si="12"/>
        <v>0.19635416666666666</v>
      </c>
      <c r="E86" s="7">
        <f t="shared" si="13"/>
        <v>5.3993055555555558E-2</v>
      </c>
      <c r="F86">
        <f t="shared" si="14"/>
        <v>83</v>
      </c>
      <c r="G86" s="8">
        <f t="shared" si="15"/>
        <v>0.54759999999999998</v>
      </c>
    </row>
    <row r="87" spans="1:7" x14ac:dyDescent="0.3">
      <c r="A87" t="str">
        <f>break!A87</f>
        <v>Aditi Rawat (1009086)</v>
      </c>
      <c r="B87" t="str">
        <f t="shared" si="16"/>
        <v>Aditi Rawat</v>
      </c>
      <c r="C87" s="7">
        <f t="shared" si="11"/>
        <v>0.34589120370370369</v>
      </c>
      <c r="D87" s="7">
        <f t="shared" si="12"/>
        <v>0.20856481481481481</v>
      </c>
      <c r="E87" s="7">
        <f t="shared" si="13"/>
        <v>6.1053240740740741E-2</v>
      </c>
      <c r="F87">
        <f t="shared" si="14"/>
        <v>100</v>
      </c>
      <c r="G87" s="8">
        <f t="shared" si="15"/>
        <v>0.58609999999999995</v>
      </c>
    </row>
    <row r="88" spans="1:7" x14ac:dyDescent="0.3">
      <c r="A88" t="str">
        <f>break!A88</f>
        <v>Vikas Sharma (1009087)</v>
      </c>
      <c r="B88" t="str">
        <f t="shared" si="16"/>
        <v>Vikas Sharma</v>
      </c>
      <c r="C88" s="7">
        <f t="shared" si="11"/>
        <v>0.33836805555555555</v>
      </c>
      <c r="D88" s="7">
        <f t="shared" si="12"/>
        <v>0.18813657407407408</v>
      </c>
      <c r="E88" s="7">
        <f t="shared" si="13"/>
        <v>5.4340277777777779E-2</v>
      </c>
      <c r="F88">
        <f t="shared" si="14"/>
        <v>75</v>
      </c>
      <c r="G88" s="8">
        <f t="shared" si="15"/>
        <v>0.52839999999999998</v>
      </c>
    </row>
    <row r="89" spans="1:7" x14ac:dyDescent="0.3">
      <c r="A89" t="str">
        <f>break!A89</f>
        <v>Riya Bisht (1009088)</v>
      </c>
      <c r="B89" t="str">
        <f t="shared" si="16"/>
        <v>Riya Bisht</v>
      </c>
      <c r="C89" s="7">
        <f t="shared" si="11"/>
        <v>0.34681712962962963</v>
      </c>
      <c r="D89" s="7">
        <f t="shared" si="12"/>
        <v>0.21012731481481481</v>
      </c>
      <c r="E89" s="7">
        <f t="shared" si="13"/>
        <v>5.572916666666667E-2</v>
      </c>
      <c r="F89">
        <f t="shared" si="14"/>
        <v>103</v>
      </c>
      <c r="G89" s="8">
        <f t="shared" si="15"/>
        <v>0.58860000000000001</v>
      </c>
    </row>
    <row r="90" spans="1:7" x14ac:dyDescent="0.3">
      <c r="A90" t="str">
        <f>break!A90</f>
        <v>Mohit Verma (1009089)</v>
      </c>
      <c r="B90" t="str">
        <f t="shared" si="16"/>
        <v>Mohit Verma</v>
      </c>
      <c r="C90" s="7">
        <f t="shared" si="11"/>
        <v>0.33998842592592593</v>
      </c>
      <c r="D90" s="7">
        <f t="shared" si="12"/>
        <v>0.1927662037037037</v>
      </c>
      <c r="E90" s="7">
        <f t="shared" si="13"/>
        <v>7.3263888888888892E-2</v>
      </c>
      <c r="F90">
        <f t="shared" si="14"/>
        <v>80</v>
      </c>
      <c r="G90" s="8">
        <f t="shared" si="15"/>
        <v>0.54059999999999997</v>
      </c>
    </row>
    <row r="91" spans="1:7" x14ac:dyDescent="0.3">
      <c r="A91" t="str">
        <f>break!A91</f>
        <v>Pallavi Gupta (1009090)</v>
      </c>
      <c r="B91" t="str">
        <f t="shared" si="16"/>
        <v>Pallavi Gupta</v>
      </c>
      <c r="C91" s="7">
        <f t="shared" si="11"/>
        <v>0.34878472222222223</v>
      </c>
      <c r="D91" s="7">
        <f t="shared" si="12"/>
        <v>0.21336805555555555</v>
      </c>
      <c r="E91" s="7">
        <f t="shared" si="13"/>
        <v>6.2615740740740736E-2</v>
      </c>
      <c r="F91">
        <f t="shared" si="14"/>
        <v>111</v>
      </c>
      <c r="G91" s="8">
        <f t="shared" si="15"/>
        <v>0.59750000000000003</v>
      </c>
    </row>
    <row r="92" spans="1:7" x14ac:dyDescent="0.3">
      <c r="A92" t="str">
        <f>break!A92</f>
        <v>Rahul Rana (1009091)</v>
      </c>
      <c r="B92" t="str">
        <f t="shared" si="16"/>
        <v>Rahul Rana</v>
      </c>
      <c r="C92" s="7">
        <f t="shared" si="11"/>
        <v>0.33807870370370369</v>
      </c>
      <c r="D92" s="7">
        <f t="shared" si="12"/>
        <v>0.18686342592592592</v>
      </c>
      <c r="E92" s="7">
        <f t="shared" si="13"/>
        <v>4.7222222222222221E-2</v>
      </c>
      <c r="F92">
        <f t="shared" si="14"/>
        <v>74</v>
      </c>
      <c r="G92" s="8">
        <f t="shared" si="15"/>
        <v>0.52339999999999998</v>
      </c>
    </row>
    <row r="93" spans="1:7" x14ac:dyDescent="0.3">
      <c r="A93" t="str">
        <f>break!A93</f>
        <v>Sneha Sharma (1009092)</v>
      </c>
      <c r="B93" t="str">
        <f t="shared" si="16"/>
        <v>Sneha Sharma</v>
      </c>
      <c r="C93" s="7">
        <f t="shared" si="11"/>
        <v>0.34484953703703702</v>
      </c>
      <c r="D93" s="7">
        <f t="shared" si="12"/>
        <v>0.20405092592592591</v>
      </c>
      <c r="E93" s="7">
        <f t="shared" si="13"/>
        <v>5.4108796296296294E-2</v>
      </c>
      <c r="F93">
        <f t="shared" si="14"/>
        <v>94</v>
      </c>
      <c r="G93" s="8">
        <f t="shared" si="15"/>
        <v>0.57550000000000001</v>
      </c>
    </row>
    <row r="94" spans="1:7" x14ac:dyDescent="0.3">
      <c r="A94" t="str">
        <f>break!A94</f>
        <v>Ankit Rawat (1009093)</v>
      </c>
      <c r="B94" t="str">
        <f t="shared" si="16"/>
        <v>Ankit Rawat</v>
      </c>
      <c r="C94" s="7">
        <f t="shared" si="11"/>
        <v>0.33917824074074077</v>
      </c>
      <c r="D94" s="7">
        <f t="shared" si="12"/>
        <v>0.18987268518518519</v>
      </c>
      <c r="E94" s="7">
        <f t="shared" si="13"/>
        <v>6.2442129629629632E-2</v>
      </c>
      <c r="F94">
        <f t="shared" si="14"/>
        <v>77</v>
      </c>
      <c r="G94" s="8">
        <f t="shared" si="15"/>
        <v>0.53210000000000002</v>
      </c>
    </row>
    <row r="95" spans="1:7" x14ac:dyDescent="0.3">
      <c r="A95" t="str">
        <f>break!A95</f>
        <v>Komal Bisht (1009094)</v>
      </c>
      <c r="B95" t="str">
        <f t="shared" si="16"/>
        <v>Komal Bisht</v>
      </c>
      <c r="C95" s="7">
        <f t="shared" si="11"/>
        <v>0.34751157407407407</v>
      </c>
      <c r="D95" s="7">
        <f t="shared" si="12"/>
        <v>0.21105324074074075</v>
      </c>
      <c r="E95" s="7">
        <f t="shared" si="13"/>
        <v>5.1504629629629629E-2</v>
      </c>
      <c r="F95">
        <f t="shared" si="14"/>
        <v>107</v>
      </c>
      <c r="G95" s="8">
        <f t="shared" si="15"/>
        <v>0.59099999999999997</v>
      </c>
    </row>
    <row r="96" spans="1:7" x14ac:dyDescent="0.3">
      <c r="A96" t="str">
        <f>break!A96</f>
        <v>Harshit Gupta (1009095)</v>
      </c>
      <c r="B96" t="str">
        <f t="shared" si="16"/>
        <v>Harshit Gupta</v>
      </c>
      <c r="C96" s="7">
        <f t="shared" si="11"/>
        <v>0.34149305555555554</v>
      </c>
      <c r="D96" s="7">
        <f t="shared" si="12"/>
        <v>0.19658564814814813</v>
      </c>
      <c r="E96" s="7">
        <f t="shared" si="13"/>
        <v>7.4768518518518512E-2</v>
      </c>
      <c r="F96">
        <f t="shared" si="14"/>
        <v>84</v>
      </c>
      <c r="G96" s="8">
        <f t="shared" si="15"/>
        <v>0.54869999999999997</v>
      </c>
    </row>
    <row r="97" spans="1:7" x14ac:dyDescent="0.3">
      <c r="A97" t="str">
        <f>break!A97</f>
        <v>Muskan Sharma (1009096)</v>
      </c>
      <c r="B97" t="str">
        <f t="shared" si="16"/>
        <v>Muskan Sharma</v>
      </c>
      <c r="C97" s="7">
        <f t="shared" si="11"/>
        <v>0.34629629629629627</v>
      </c>
      <c r="D97" s="7">
        <f t="shared" si="12"/>
        <v>0.2083912037037037</v>
      </c>
      <c r="E97" s="7">
        <f t="shared" si="13"/>
        <v>9.9421296296296299E-2</v>
      </c>
      <c r="F97">
        <f t="shared" si="14"/>
        <v>100</v>
      </c>
      <c r="G97" s="8">
        <f t="shared" si="15"/>
        <v>0.58679999999999999</v>
      </c>
    </row>
    <row r="98" spans="1:7" x14ac:dyDescent="0.3">
      <c r="A98" t="str">
        <f>break!A98</f>
        <v>Deepak Rana (1009097)</v>
      </c>
      <c r="B98" t="str">
        <f t="shared" si="16"/>
        <v>Deepak Rana</v>
      </c>
      <c r="C98" s="7">
        <f t="shared" ref="C98:C129" si="17">VLOOKUP(A98,edata,2,0)</f>
        <v>0.33859953703703705</v>
      </c>
      <c r="D98" s="7">
        <f t="shared" ref="D98:D129" si="18">VLOOKUP(A98,edata,3,0)</f>
        <v>0.18836805555555555</v>
      </c>
      <c r="E98" s="7">
        <f t="shared" ref="E98:E129" si="19">VLOOKUP(A98,break,9,0)</f>
        <v>5.3703703703703705E-2</v>
      </c>
      <c r="F98">
        <f t="shared" ref="F98:F129" si="20">VLOOKUP(A98,edata,4,0)</f>
        <v>76</v>
      </c>
      <c r="G98" s="8">
        <f t="shared" ref="G98:G129" si="21">VLOOKUP(A98,edata,6,0)</f>
        <v>0.5292</v>
      </c>
    </row>
    <row r="99" spans="1:7" x14ac:dyDescent="0.3">
      <c r="A99" t="str">
        <f>break!A99</f>
        <v>Kritika Verma (1009098)</v>
      </c>
      <c r="B99" t="str">
        <f t="shared" si="16"/>
        <v>Kritika Verma</v>
      </c>
      <c r="C99" s="7">
        <f t="shared" si="17"/>
        <v>0.34716435185185185</v>
      </c>
      <c r="D99" s="7">
        <f t="shared" si="18"/>
        <v>0.21053240740740742</v>
      </c>
      <c r="E99" s="7">
        <f t="shared" si="19"/>
        <v>6.1631944444444448E-2</v>
      </c>
      <c r="F99">
        <f t="shared" si="20"/>
        <v>105</v>
      </c>
      <c r="G99" s="8">
        <f t="shared" si="21"/>
        <v>0.58979999999999999</v>
      </c>
    </row>
    <row r="100" spans="1:7" x14ac:dyDescent="0.3">
      <c r="A100" t="str">
        <f>break!A100</f>
        <v>Tarun Gupta (1009099)</v>
      </c>
      <c r="B100" t="str">
        <f t="shared" si="16"/>
        <v>Tarun Gupta</v>
      </c>
      <c r="C100" s="7">
        <f t="shared" si="17"/>
        <v>0.34050925925925923</v>
      </c>
      <c r="D100" s="7">
        <f t="shared" si="18"/>
        <v>0.19363425925925926</v>
      </c>
      <c r="E100" s="7">
        <f t="shared" si="19"/>
        <v>5.3703703703703705E-2</v>
      </c>
      <c r="F100">
        <f t="shared" si="20"/>
        <v>81</v>
      </c>
      <c r="G100" s="8">
        <f t="shared" si="21"/>
        <v>0.54239999999999999</v>
      </c>
    </row>
    <row r="101" spans="1:7" x14ac:dyDescent="0.3">
      <c r="A101" t="str">
        <f>break!A101</f>
        <v>Rohit Sharma (1009100)</v>
      </c>
      <c r="B101" t="str">
        <f t="shared" si="16"/>
        <v>Rohit Sharma</v>
      </c>
      <c r="C101" s="7">
        <f t="shared" si="17"/>
        <v>0.34832175925925923</v>
      </c>
      <c r="D101" s="7">
        <f t="shared" si="18"/>
        <v>0.21221064814814813</v>
      </c>
      <c r="E101" s="7">
        <f t="shared" si="19"/>
        <v>4.8437500000000001E-2</v>
      </c>
      <c r="F101">
        <f t="shared" si="20"/>
        <v>109</v>
      </c>
      <c r="G101" s="8">
        <f t="shared" si="21"/>
        <v>0.59470000000000001</v>
      </c>
    </row>
    <row r="102" spans="1:7" x14ac:dyDescent="0.3">
      <c r="A102" t="str">
        <f>break!A102</f>
        <v>Ananya Bisht (1009101)</v>
      </c>
      <c r="B102" t="str">
        <f t="shared" si="16"/>
        <v>Ananya Bisht</v>
      </c>
      <c r="C102" s="7">
        <f t="shared" si="17"/>
        <v>0.33761574074074074</v>
      </c>
      <c r="D102" s="7">
        <f t="shared" si="18"/>
        <v>0.18611111111111112</v>
      </c>
      <c r="E102" s="7">
        <f t="shared" si="19"/>
        <v>5.3935185185185183E-2</v>
      </c>
      <c r="F102">
        <f t="shared" si="20"/>
        <v>73</v>
      </c>
      <c r="G102" s="8">
        <f t="shared" si="21"/>
        <v>0.52139999999999997</v>
      </c>
    </row>
    <row r="103" spans="1:7" x14ac:dyDescent="0.3">
      <c r="A103" t="str">
        <f>break!A103</f>
        <v>Nitin Sharma (1009102)</v>
      </c>
      <c r="B103" t="str">
        <f t="shared" si="16"/>
        <v>Nitin Sharma</v>
      </c>
      <c r="C103" s="7">
        <f t="shared" si="17"/>
        <v>0.34542824074074074</v>
      </c>
      <c r="D103" s="7">
        <f t="shared" si="18"/>
        <v>0.20543981481481483</v>
      </c>
      <c r="E103" s="7">
        <f t="shared" si="19"/>
        <v>7.8125E-2</v>
      </c>
      <c r="F103">
        <f t="shared" si="20"/>
        <v>95</v>
      </c>
      <c r="G103" s="8">
        <f t="shared" si="21"/>
        <v>0.57820000000000005</v>
      </c>
    </row>
    <row r="104" spans="1:7" x14ac:dyDescent="0.3">
      <c r="A104" t="str">
        <f>break!A104</f>
        <v>Sakshi Gupta (1009103)</v>
      </c>
      <c r="B104" t="str">
        <f t="shared" si="16"/>
        <v>Sakshi Gupta</v>
      </c>
      <c r="C104" s="7">
        <f t="shared" si="17"/>
        <v>0.33940972222222221</v>
      </c>
      <c r="D104" s="7">
        <f t="shared" si="18"/>
        <v>0.19039351851851852</v>
      </c>
      <c r="E104" s="7">
        <f t="shared" si="19"/>
        <v>6.232638888888889E-2</v>
      </c>
      <c r="F104">
        <f t="shared" si="20"/>
        <v>78</v>
      </c>
      <c r="G104" s="8">
        <f t="shared" si="21"/>
        <v>0.53349999999999997</v>
      </c>
    </row>
    <row r="105" spans="1:7" x14ac:dyDescent="0.3">
      <c r="A105" t="str">
        <f>break!A105</f>
        <v>Aakash Rawat (1009104)</v>
      </c>
      <c r="B105" t="str">
        <f t="shared" si="16"/>
        <v>Aakash Rawat</v>
      </c>
      <c r="C105" s="7">
        <f t="shared" si="17"/>
        <v>0.34780092592592593</v>
      </c>
      <c r="D105" s="7">
        <f t="shared" si="18"/>
        <v>0.21134259259259258</v>
      </c>
      <c r="E105" s="7">
        <f t="shared" si="19"/>
        <v>0.05</v>
      </c>
      <c r="F105">
        <f t="shared" si="20"/>
        <v>108</v>
      </c>
      <c r="G105" s="8">
        <f t="shared" si="21"/>
        <v>0.59189999999999998</v>
      </c>
    </row>
    <row r="106" spans="1:7" x14ac:dyDescent="0.3">
      <c r="A106" t="str">
        <f>break!A106</f>
        <v>Priyanka Sharma (1009105)</v>
      </c>
      <c r="B106" t="str">
        <f t="shared" si="16"/>
        <v>Priyanka Sharma</v>
      </c>
      <c r="C106" s="7">
        <f t="shared" si="17"/>
        <v>0.34131944444444445</v>
      </c>
      <c r="D106" s="7">
        <f t="shared" si="18"/>
        <v>0.19646990740740741</v>
      </c>
      <c r="E106" s="7">
        <f t="shared" si="19"/>
        <v>5.4050925925925926E-2</v>
      </c>
      <c r="F106">
        <f t="shared" si="20"/>
        <v>83</v>
      </c>
      <c r="G106" s="8">
        <f t="shared" si="21"/>
        <v>0.54720000000000002</v>
      </c>
    </row>
    <row r="107" spans="1:7" x14ac:dyDescent="0.3">
      <c r="A107" t="str">
        <f>break!A107</f>
        <v>Aditi Bisht (1009106)</v>
      </c>
      <c r="B107" t="str">
        <f t="shared" si="16"/>
        <v>Aditi Bisht</v>
      </c>
      <c r="C107" s="7">
        <f t="shared" si="17"/>
        <v>0.34600694444444446</v>
      </c>
      <c r="D107" s="7">
        <f t="shared" si="18"/>
        <v>0.20868055555555556</v>
      </c>
      <c r="E107" s="7">
        <f t="shared" si="19"/>
        <v>6.145833333333333E-2</v>
      </c>
      <c r="F107">
        <f t="shared" si="20"/>
        <v>100</v>
      </c>
      <c r="G107" s="8">
        <f t="shared" si="21"/>
        <v>0.58579999999999999</v>
      </c>
    </row>
    <row r="108" spans="1:7" x14ac:dyDescent="0.3">
      <c r="A108" t="str">
        <f>break!A108</f>
        <v>Karan Sharma (1009107)</v>
      </c>
      <c r="B108" t="str">
        <f t="shared" si="16"/>
        <v>Karan Sharma</v>
      </c>
      <c r="C108" s="7">
        <f t="shared" si="17"/>
        <v>0.33825231481481483</v>
      </c>
      <c r="D108" s="7">
        <f t="shared" si="18"/>
        <v>0.18796296296296297</v>
      </c>
      <c r="E108" s="7">
        <f t="shared" si="19"/>
        <v>5.4456018518518522E-2</v>
      </c>
      <c r="F108">
        <f t="shared" si="20"/>
        <v>75</v>
      </c>
      <c r="G108" s="8">
        <f t="shared" si="21"/>
        <v>0.52780000000000005</v>
      </c>
    </row>
    <row r="109" spans="1:7" x14ac:dyDescent="0.3">
      <c r="A109" t="str">
        <f>break!A109</f>
        <v>Nisha Rawat (1009108)</v>
      </c>
      <c r="B109" t="str">
        <f t="shared" si="16"/>
        <v>Nisha Rawat</v>
      </c>
      <c r="C109" s="7">
        <f t="shared" si="17"/>
        <v>0.34675925925925927</v>
      </c>
      <c r="D109" s="7">
        <f t="shared" si="18"/>
        <v>0.2099537037037037</v>
      </c>
      <c r="E109" s="7">
        <f t="shared" si="19"/>
        <v>5.5266203703703706E-2</v>
      </c>
      <c r="F109">
        <f t="shared" si="20"/>
        <v>103</v>
      </c>
      <c r="G109" s="8">
        <f t="shared" si="21"/>
        <v>0.58840000000000003</v>
      </c>
    </row>
    <row r="110" spans="1:7" x14ac:dyDescent="0.3">
      <c r="A110" t="str">
        <f>break!A110</f>
        <v>Aman Verma (1009109)</v>
      </c>
      <c r="B110" t="str">
        <f t="shared" si="16"/>
        <v>Aman Verma</v>
      </c>
      <c r="C110" s="7">
        <f t="shared" si="17"/>
        <v>0.33987268518518521</v>
      </c>
      <c r="D110" s="7">
        <f t="shared" si="18"/>
        <v>0.19259259259259259</v>
      </c>
      <c r="E110" s="7">
        <f t="shared" si="19"/>
        <v>7.4305555555555555E-2</v>
      </c>
      <c r="F110">
        <f t="shared" si="20"/>
        <v>80</v>
      </c>
      <c r="G110" s="8">
        <f t="shared" si="21"/>
        <v>0.54020000000000001</v>
      </c>
    </row>
    <row r="111" spans="1:7" x14ac:dyDescent="0.3">
      <c r="A111" t="str">
        <f>break!A111</f>
        <v>Ritika Bisht (1009110)</v>
      </c>
      <c r="B111" t="str">
        <f t="shared" si="16"/>
        <v>Ritika Bisht</v>
      </c>
      <c r="C111" s="7">
        <f t="shared" si="17"/>
        <v>0.34890046296296295</v>
      </c>
      <c r="D111" s="7">
        <f t="shared" si="18"/>
        <v>0.2134837962962963</v>
      </c>
      <c r="E111" s="7">
        <f t="shared" si="19"/>
        <v>6.2557870370370375E-2</v>
      </c>
      <c r="F111">
        <f t="shared" si="20"/>
        <v>111</v>
      </c>
      <c r="G111" s="8">
        <f t="shared" si="21"/>
        <v>0.59789999999999999</v>
      </c>
    </row>
    <row r="112" spans="1:7" x14ac:dyDescent="0.3">
      <c r="A112" t="str">
        <f>break!A112</f>
        <v>Mohit Sharma (1009111)</v>
      </c>
      <c r="B112" t="str">
        <f t="shared" si="16"/>
        <v>Mohit Sharma</v>
      </c>
      <c r="C112" s="7">
        <f t="shared" si="17"/>
        <v>0.33796296296296297</v>
      </c>
      <c r="D112" s="7">
        <f t="shared" si="18"/>
        <v>0.18668981481481481</v>
      </c>
      <c r="E112" s="7">
        <f t="shared" si="19"/>
        <v>4.7222222222222221E-2</v>
      </c>
      <c r="F112">
        <f t="shared" si="20"/>
        <v>74</v>
      </c>
      <c r="G112" s="8">
        <f t="shared" si="21"/>
        <v>0.52300000000000002</v>
      </c>
    </row>
    <row r="113" spans="1:7" x14ac:dyDescent="0.3">
      <c r="A113" t="str">
        <f>break!A113</f>
        <v>Pooja Gupta (1009112)</v>
      </c>
      <c r="B113" t="str">
        <f t="shared" si="16"/>
        <v>Pooja Gupta</v>
      </c>
      <c r="C113" s="7">
        <f t="shared" si="17"/>
        <v>0.3447337962962963</v>
      </c>
      <c r="D113" s="7">
        <f t="shared" si="18"/>
        <v>0.2038773148148148</v>
      </c>
      <c r="E113" s="7">
        <f t="shared" si="19"/>
        <v>5.4108796296296294E-2</v>
      </c>
      <c r="F113">
        <f t="shared" si="20"/>
        <v>94</v>
      </c>
      <c r="G113" s="8">
        <f t="shared" si="21"/>
        <v>0.57499999999999996</v>
      </c>
    </row>
    <row r="114" spans="1:7" x14ac:dyDescent="0.3">
      <c r="A114" t="str">
        <f>break!A114</f>
        <v>Vivek Rawat (1009113)</v>
      </c>
      <c r="B114" t="str">
        <f t="shared" si="16"/>
        <v>Vivek Rawat</v>
      </c>
      <c r="C114" s="7">
        <f t="shared" si="17"/>
        <v>0.33906249999999999</v>
      </c>
      <c r="D114" s="7">
        <f t="shared" si="18"/>
        <v>0.18969907407407408</v>
      </c>
      <c r="E114" s="7">
        <f t="shared" si="19"/>
        <v>4.7222222222222221E-2</v>
      </c>
      <c r="F114">
        <f t="shared" si="20"/>
        <v>77</v>
      </c>
      <c r="G114" s="8">
        <f t="shared" si="21"/>
        <v>0.53180000000000005</v>
      </c>
    </row>
    <row r="115" spans="1:7" x14ac:dyDescent="0.3">
      <c r="A115" t="str">
        <f>break!A115</f>
        <v>Muskan Sharma (1009114)</v>
      </c>
      <c r="B115" t="str">
        <f t="shared" si="16"/>
        <v>Muskan Sharma</v>
      </c>
      <c r="C115" s="7">
        <f t="shared" si="17"/>
        <v>0.34739583333333335</v>
      </c>
      <c r="D115" s="7">
        <f t="shared" si="18"/>
        <v>0.2109375</v>
      </c>
      <c r="E115" s="7">
        <f t="shared" si="19"/>
        <v>5.1504629629629629E-2</v>
      </c>
      <c r="F115">
        <f t="shared" si="20"/>
        <v>107</v>
      </c>
      <c r="G115" s="8">
        <f t="shared" si="21"/>
        <v>0.59140000000000004</v>
      </c>
    </row>
    <row r="116" spans="1:7" x14ac:dyDescent="0.3">
      <c r="A116" t="str">
        <f>break!A116</f>
        <v>Ankit Bisht (1009115)</v>
      </c>
      <c r="B116" t="str">
        <f t="shared" si="16"/>
        <v>Ankit Bisht</v>
      </c>
      <c r="C116" s="7">
        <f t="shared" si="17"/>
        <v>0.34137731481481481</v>
      </c>
      <c r="D116" s="7">
        <f t="shared" si="18"/>
        <v>0.1962962962962963</v>
      </c>
      <c r="E116" s="7">
        <f t="shared" si="19"/>
        <v>7.4768518518518512E-2</v>
      </c>
      <c r="F116">
        <f t="shared" si="20"/>
        <v>84</v>
      </c>
      <c r="G116" s="8">
        <f t="shared" si="21"/>
        <v>0.54800000000000004</v>
      </c>
    </row>
    <row r="117" spans="1:7" x14ac:dyDescent="0.3">
      <c r="A117" t="str">
        <f>break!A117</f>
        <v>Sneha Verma (1009116)</v>
      </c>
      <c r="B117" t="str">
        <f t="shared" si="16"/>
        <v>Sneha Verma</v>
      </c>
      <c r="C117" s="7">
        <f t="shared" si="17"/>
        <v>0.34618055555555555</v>
      </c>
      <c r="D117" s="7">
        <f t="shared" si="18"/>
        <v>0.2089699074074074</v>
      </c>
      <c r="E117" s="7">
        <f t="shared" si="19"/>
        <v>9.9421296296296299E-2</v>
      </c>
      <c r="F117">
        <f t="shared" si="20"/>
        <v>101</v>
      </c>
      <c r="G117" s="8">
        <f t="shared" si="21"/>
        <v>0.58730000000000004</v>
      </c>
    </row>
    <row r="118" spans="1:7" x14ac:dyDescent="0.3">
      <c r="A118" t="str">
        <f>break!A118</f>
        <v>Rahul Chauhan (1009117)</v>
      </c>
      <c r="B118" t="str">
        <f t="shared" si="16"/>
        <v>Rahul Chauhan</v>
      </c>
      <c r="C118" s="7">
        <f t="shared" si="17"/>
        <v>0.33842592592592591</v>
      </c>
      <c r="D118" s="7">
        <f t="shared" si="18"/>
        <v>0.1882523148148148</v>
      </c>
      <c r="E118" s="7">
        <f t="shared" si="19"/>
        <v>5.3703703703703705E-2</v>
      </c>
      <c r="F118">
        <f t="shared" si="20"/>
        <v>76</v>
      </c>
      <c r="G118" s="8">
        <f t="shared" si="21"/>
        <v>0.52890000000000004</v>
      </c>
    </row>
    <row r="119" spans="1:7" x14ac:dyDescent="0.3">
      <c r="A119" t="str">
        <f>break!A119</f>
        <v>Kajal Rana (1009118)</v>
      </c>
      <c r="B119" t="str">
        <f t="shared" si="16"/>
        <v>Kajal Rana</v>
      </c>
      <c r="C119" s="7">
        <f t="shared" si="17"/>
        <v>0.34699074074074077</v>
      </c>
      <c r="D119" s="7">
        <f t="shared" si="18"/>
        <v>0.21030092592592592</v>
      </c>
      <c r="E119" s="7">
        <f t="shared" si="19"/>
        <v>6.1631944444444448E-2</v>
      </c>
      <c r="F119">
        <f t="shared" si="20"/>
        <v>104</v>
      </c>
      <c r="G119" s="8">
        <f t="shared" si="21"/>
        <v>0.58909999999999996</v>
      </c>
    </row>
    <row r="120" spans="1:7" x14ac:dyDescent="0.3">
      <c r="A120" t="str">
        <f>break!A120</f>
        <v>Deepak Bisht (1009119)</v>
      </c>
      <c r="B120" t="str">
        <f t="shared" si="16"/>
        <v>Deepak Bisht</v>
      </c>
      <c r="C120" s="7">
        <f t="shared" si="17"/>
        <v>0.34039351851851851</v>
      </c>
      <c r="D120" s="7">
        <f t="shared" si="18"/>
        <v>0.1933449074074074</v>
      </c>
      <c r="E120" s="7">
        <f t="shared" si="19"/>
        <v>5.3703703703703705E-2</v>
      </c>
      <c r="F120">
        <f t="shared" si="20"/>
        <v>81</v>
      </c>
      <c r="G120" s="8">
        <f t="shared" si="21"/>
        <v>0.54200000000000004</v>
      </c>
    </row>
    <row r="121" spans="1:7" x14ac:dyDescent="0.3">
      <c r="A121" t="str">
        <f>break!A121</f>
        <v>Riya Sharma (1009120)</v>
      </c>
      <c r="B121" t="str">
        <f t="shared" si="16"/>
        <v>Riya Sharma</v>
      </c>
      <c r="C121" s="7">
        <f t="shared" si="17"/>
        <v>0.34814814814814815</v>
      </c>
      <c r="D121" s="7">
        <f t="shared" si="18"/>
        <v>0.21186342592592591</v>
      </c>
      <c r="E121" s="7">
        <f t="shared" si="19"/>
        <v>4.8437500000000001E-2</v>
      </c>
      <c r="F121">
        <f t="shared" si="20"/>
        <v>109</v>
      </c>
      <c r="G121" s="8">
        <f t="shared" si="21"/>
        <v>0.59419999999999995</v>
      </c>
    </row>
    <row r="122" spans="1:7" x14ac:dyDescent="0.3">
      <c r="A122" t="str">
        <f>break!A122</f>
        <v>Harsh Verma (1009121)</v>
      </c>
      <c r="B122" t="str">
        <f t="shared" si="16"/>
        <v>Harsh Verma</v>
      </c>
      <c r="C122" s="7">
        <f t="shared" si="17"/>
        <v>0.33750000000000002</v>
      </c>
      <c r="D122" s="7">
        <f t="shared" si="18"/>
        <v>0.18587962962962962</v>
      </c>
      <c r="E122" s="7">
        <f t="shared" si="19"/>
        <v>5.3935185185185183E-2</v>
      </c>
      <c r="F122">
        <f t="shared" si="20"/>
        <v>73</v>
      </c>
      <c r="G122" s="8">
        <f t="shared" si="21"/>
        <v>0.52090000000000003</v>
      </c>
    </row>
    <row r="123" spans="1:7" x14ac:dyDescent="0.3">
      <c r="A123" t="str">
        <f>break!A123</f>
        <v>Sakshi Rana (1009122)</v>
      </c>
      <c r="B123" t="str">
        <f t="shared" si="16"/>
        <v>Sakshi Rana</v>
      </c>
      <c r="C123" s="7">
        <f t="shared" si="17"/>
        <v>0.34531250000000002</v>
      </c>
      <c r="D123" s="7">
        <f t="shared" si="18"/>
        <v>0.20515046296296297</v>
      </c>
      <c r="E123" s="7">
        <f t="shared" si="19"/>
        <v>7.8125E-2</v>
      </c>
      <c r="F123">
        <f t="shared" si="20"/>
        <v>95</v>
      </c>
      <c r="G123" s="8">
        <f t="shared" si="21"/>
        <v>0.57779999999999998</v>
      </c>
    </row>
    <row r="124" spans="1:7" x14ac:dyDescent="0.3">
      <c r="A124" t="str">
        <f>break!A124</f>
        <v>Nitin Rawat (1009123)</v>
      </c>
      <c r="B124" t="str">
        <f t="shared" si="16"/>
        <v>Nitin Rawat</v>
      </c>
      <c r="C124" s="7">
        <f t="shared" si="17"/>
        <v>0.33929398148148149</v>
      </c>
      <c r="D124" s="7">
        <f t="shared" si="18"/>
        <v>0.19027777777777777</v>
      </c>
      <c r="E124" s="7">
        <f t="shared" si="19"/>
        <v>6.232638888888889E-2</v>
      </c>
      <c r="F124">
        <f t="shared" si="20"/>
        <v>78</v>
      </c>
      <c r="G124" s="8">
        <f t="shared" si="21"/>
        <v>0.53310000000000002</v>
      </c>
    </row>
    <row r="125" spans="1:7" x14ac:dyDescent="0.3">
      <c r="A125" t="str">
        <f>break!A125</f>
        <v>Komal Gupta (1009124)</v>
      </c>
      <c r="B125" t="str">
        <f t="shared" si="16"/>
        <v>Komal Gupta</v>
      </c>
      <c r="C125" s="7">
        <f t="shared" si="17"/>
        <v>0.34768518518518521</v>
      </c>
      <c r="D125" s="7">
        <f t="shared" si="18"/>
        <v>0.21111111111111111</v>
      </c>
      <c r="E125" s="7">
        <f t="shared" si="19"/>
        <v>0.05</v>
      </c>
      <c r="F125">
        <f t="shared" si="20"/>
        <v>108</v>
      </c>
      <c r="G125" s="8">
        <f t="shared" si="21"/>
        <v>0.59150000000000003</v>
      </c>
    </row>
    <row r="126" spans="1:7" x14ac:dyDescent="0.3">
      <c r="A126" t="str">
        <f>break!A126</f>
        <v>Arjun Sharma (1009125)</v>
      </c>
      <c r="B126" t="str">
        <f t="shared" si="16"/>
        <v>Arjun Sharma</v>
      </c>
      <c r="C126" s="7">
        <f t="shared" si="17"/>
        <v>0.34120370370370373</v>
      </c>
      <c r="D126" s="7">
        <f t="shared" si="18"/>
        <v>0.1960648148148148</v>
      </c>
      <c r="E126" s="7">
        <f t="shared" si="19"/>
        <v>5.4050925925925926E-2</v>
      </c>
      <c r="F126">
        <f t="shared" si="20"/>
        <v>83</v>
      </c>
      <c r="G126" s="8">
        <f t="shared" si="21"/>
        <v>0.54679999999999995</v>
      </c>
    </row>
    <row r="127" spans="1:7" x14ac:dyDescent="0.3">
      <c r="A127" t="str">
        <f>break!A127</f>
        <v>Priya Bisht (1009126)</v>
      </c>
      <c r="B127" t="str">
        <f t="shared" si="16"/>
        <v>Priya Bisht</v>
      </c>
      <c r="C127" s="7">
        <f t="shared" si="17"/>
        <v>0.34583333333333333</v>
      </c>
      <c r="D127" s="7">
        <f t="shared" si="18"/>
        <v>0.20844907407407406</v>
      </c>
      <c r="E127" s="7">
        <f t="shared" si="19"/>
        <v>6.145833333333333E-2</v>
      </c>
      <c r="F127">
        <f t="shared" si="20"/>
        <v>100</v>
      </c>
      <c r="G127" s="8">
        <f t="shared" si="21"/>
        <v>0.58530000000000004</v>
      </c>
    </row>
    <row r="128" spans="1:7" x14ac:dyDescent="0.3">
      <c r="A128" t="str">
        <f>break!A128</f>
        <v>Aakash Sharma (1009127)</v>
      </c>
      <c r="B128" t="str">
        <f t="shared" si="16"/>
        <v>Aakash Sharma</v>
      </c>
      <c r="C128" s="7">
        <f t="shared" si="17"/>
        <v>0.33807870370370369</v>
      </c>
      <c r="D128" s="7">
        <f t="shared" si="18"/>
        <v>0.18778935185185186</v>
      </c>
      <c r="E128" s="7">
        <f t="shared" si="19"/>
        <v>5.4456018518518522E-2</v>
      </c>
      <c r="F128">
        <f t="shared" si="20"/>
        <v>75</v>
      </c>
      <c r="G128" s="8">
        <f t="shared" si="21"/>
        <v>0.52739999999999998</v>
      </c>
    </row>
    <row r="129" spans="1:7" x14ac:dyDescent="0.3">
      <c r="A129" t="str">
        <f>break!A129</f>
        <v>Neha Verma (1009128)</v>
      </c>
      <c r="B129" t="str">
        <f t="shared" si="16"/>
        <v>Neha Verma</v>
      </c>
      <c r="C129" s="7">
        <f t="shared" si="17"/>
        <v>0.34658564814814813</v>
      </c>
      <c r="D129" s="7">
        <f t="shared" si="18"/>
        <v>0.20972222222222223</v>
      </c>
      <c r="E129" s="7">
        <f t="shared" si="19"/>
        <v>5.5266203703703706E-2</v>
      </c>
      <c r="F129">
        <f t="shared" si="20"/>
        <v>103</v>
      </c>
      <c r="G129" s="8">
        <f t="shared" si="21"/>
        <v>0.58799999999999997</v>
      </c>
    </row>
    <row r="130" spans="1:7" x14ac:dyDescent="0.3">
      <c r="A130" t="str">
        <f>break!A130</f>
        <v>Rohit Bisht (1009129)</v>
      </c>
      <c r="B130" t="str">
        <f t="shared" si="16"/>
        <v>Rohit Bisht</v>
      </c>
      <c r="C130" s="7">
        <f t="shared" ref="C130:C151" si="22">VLOOKUP(A130,edata,2,0)</f>
        <v>0.33975694444444443</v>
      </c>
      <c r="D130" s="7">
        <f t="shared" ref="D130:D151" si="23">VLOOKUP(A130,edata,3,0)</f>
        <v>0.19241898148148148</v>
      </c>
      <c r="E130" s="7">
        <f t="shared" ref="E130:E151" si="24">VLOOKUP(A130,break,9,0)</f>
        <v>7.4305555555555555E-2</v>
      </c>
      <c r="F130">
        <f t="shared" ref="F130:F151" si="25">VLOOKUP(A130,edata,4,0)</f>
        <v>80</v>
      </c>
      <c r="G130" s="8">
        <f t="shared" ref="G130:G151" si="26">VLOOKUP(A130,edata,6,0)</f>
        <v>0.53979999999999995</v>
      </c>
    </row>
    <row r="131" spans="1:7" x14ac:dyDescent="0.3">
      <c r="A131" t="str">
        <f>break!A131</f>
        <v>Muskan Rana (1009130)</v>
      </c>
      <c r="B131" t="str">
        <f t="shared" ref="B131:B151" si="27">LEFT(A131,FIND("(",A131)-2)</f>
        <v>Muskan Rana</v>
      </c>
      <c r="C131" s="7">
        <f t="shared" si="22"/>
        <v>0.34901620370370373</v>
      </c>
      <c r="D131" s="7">
        <f t="shared" si="23"/>
        <v>0.21365740740740741</v>
      </c>
      <c r="E131" s="7">
        <f t="shared" si="24"/>
        <v>6.2557870370370375E-2</v>
      </c>
      <c r="F131">
        <f t="shared" si="25"/>
        <v>112</v>
      </c>
      <c r="G131" s="8">
        <f t="shared" si="26"/>
        <v>0.59830000000000005</v>
      </c>
    </row>
    <row r="132" spans="1:7" x14ac:dyDescent="0.3">
      <c r="A132" t="str">
        <f>break!A132</f>
        <v>Harshit Sharma (1009131)</v>
      </c>
      <c r="B132" t="str">
        <f t="shared" si="27"/>
        <v>Harshit Sharma</v>
      </c>
      <c r="C132" s="7">
        <f t="shared" si="22"/>
        <v>0.33784722222222224</v>
      </c>
      <c r="D132" s="7">
        <f t="shared" si="23"/>
        <v>0.1865162037037037</v>
      </c>
      <c r="E132" s="7">
        <f t="shared" si="24"/>
        <v>4.6990740740740743E-2</v>
      </c>
      <c r="F132">
        <f t="shared" si="25"/>
        <v>74</v>
      </c>
      <c r="G132" s="8">
        <f t="shared" si="26"/>
        <v>0.52270000000000005</v>
      </c>
    </row>
    <row r="133" spans="1:7" x14ac:dyDescent="0.3">
      <c r="A133" t="str">
        <f>break!A133</f>
        <v>Anjali Rawat (1009132)</v>
      </c>
      <c r="B133" t="str">
        <f t="shared" si="27"/>
        <v>Anjali Rawat</v>
      </c>
      <c r="C133" s="7">
        <f t="shared" si="22"/>
        <v>0.34461805555555558</v>
      </c>
      <c r="D133" s="7">
        <f t="shared" si="23"/>
        <v>0.20370370370370369</v>
      </c>
      <c r="E133" s="7">
        <f t="shared" si="24"/>
        <v>5.4224537037037036E-2</v>
      </c>
      <c r="F133">
        <f t="shared" si="25"/>
        <v>94</v>
      </c>
      <c r="G133" s="8">
        <f t="shared" si="26"/>
        <v>0.5746</v>
      </c>
    </row>
    <row r="134" spans="1:7" x14ac:dyDescent="0.3">
      <c r="A134" t="str">
        <f>break!A134</f>
        <v>Vikas Gupta (1009133)</v>
      </c>
      <c r="B134" t="str">
        <f t="shared" si="27"/>
        <v>Vikas Gupta</v>
      </c>
      <c r="C134" s="7">
        <f t="shared" si="22"/>
        <v>0.33894675925925927</v>
      </c>
      <c r="D134" s="7">
        <f t="shared" si="23"/>
        <v>0.18952546296296297</v>
      </c>
      <c r="E134" s="7">
        <f t="shared" si="24"/>
        <v>6.0243055555555557E-2</v>
      </c>
      <c r="F134">
        <f t="shared" si="25"/>
        <v>77</v>
      </c>
      <c r="G134" s="8">
        <f t="shared" si="26"/>
        <v>0.53139999999999998</v>
      </c>
    </row>
    <row r="135" spans="1:7" x14ac:dyDescent="0.3">
      <c r="A135" t="str">
        <f>break!A135</f>
        <v>Kritika Sharma (1009134)</v>
      </c>
      <c r="B135" t="str">
        <f t="shared" si="27"/>
        <v>Kritika Sharma</v>
      </c>
      <c r="C135" s="7">
        <f t="shared" si="22"/>
        <v>0.34722222222222221</v>
      </c>
      <c r="D135" s="7">
        <f t="shared" si="23"/>
        <v>0.21076388888888889</v>
      </c>
      <c r="E135" s="7">
        <f t="shared" si="24"/>
        <v>5.1157407407407408E-2</v>
      </c>
      <c r="F135">
        <f t="shared" si="25"/>
        <v>107</v>
      </c>
      <c r="G135" s="8">
        <f t="shared" si="26"/>
        <v>0.59109999999999996</v>
      </c>
    </row>
    <row r="136" spans="1:7" x14ac:dyDescent="0.3">
      <c r="A136" t="str">
        <f>break!A136</f>
        <v>Mohit Rawat (1009135)</v>
      </c>
      <c r="B136" t="str">
        <f t="shared" si="27"/>
        <v>Mohit Rawat</v>
      </c>
      <c r="C136" s="7">
        <f t="shared" si="22"/>
        <v>0.34108796296296295</v>
      </c>
      <c r="D136" s="7">
        <f t="shared" si="23"/>
        <v>0.19589120370370369</v>
      </c>
      <c r="E136" s="7">
        <f t="shared" si="24"/>
        <v>7.4479166666666666E-2</v>
      </c>
      <c r="F136">
        <f t="shared" si="25"/>
        <v>84</v>
      </c>
      <c r="G136" s="8">
        <f t="shared" si="26"/>
        <v>0.54759999999999998</v>
      </c>
    </row>
    <row r="137" spans="1:7" x14ac:dyDescent="0.3">
      <c r="A137" t="str">
        <f>break!A137</f>
        <v>Riya Verma (1009136)</v>
      </c>
      <c r="B137" t="str">
        <f t="shared" si="27"/>
        <v>Riya Verma</v>
      </c>
      <c r="C137" s="7">
        <f t="shared" si="22"/>
        <v>0.34635416666666669</v>
      </c>
      <c r="D137" s="7">
        <f t="shared" si="23"/>
        <v>0.2092013888888889</v>
      </c>
      <c r="E137" s="7">
        <f t="shared" si="24"/>
        <v>9.8090277777777776E-2</v>
      </c>
      <c r="F137">
        <f t="shared" si="25"/>
        <v>102</v>
      </c>
      <c r="G137" s="8">
        <f t="shared" si="26"/>
        <v>0.58779999999999999</v>
      </c>
    </row>
    <row r="138" spans="1:7" x14ac:dyDescent="0.3">
      <c r="A138" t="str">
        <f>break!A138</f>
        <v>Tarun Bisht (1009137)</v>
      </c>
      <c r="B138" t="str">
        <f t="shared" si="27"/>
        <v>Tarun Bisht</v>
      </c>
      <c r="C138" s="7">
        <f t="shared" si="22"/>
        <v>0.33854166666666669</v>
      </c>
      <c r="D138" s="7">
        <f t="shared" si="23"/>
        <v>0.18807870370370369</v>
      </c>
      <c r="E138" s="7">
        <f t="shared" si="24"/>
        <v>5.3530092592592594E-2</v>
      </c>
      <c r="F138">
        <f t="shared" si="25"/>
        <v>76</v>
      </c>
      <c r="G138" s="8">
        <f t="shared" si="26"/>
        <v>0.52839999999999998</v>
      </c>
    </row>
    <row r="139" spans="1:7" x14ac:dyDescent="0.3">
      <c r="A139" t="str">
        <f>break!A139</f>
        <v>Pallavi Sharma (1009138)</v>
      </c>
      <c r="B139" t="str">
        <f t="shared" si="27"/>
        <v>Pallavi Sharma</v>
      </c>
      <c r="C139" s="7">
        <f t="shared" si="22"/>
        <v>0.34716435185185185</v>
      </c>
      <c r="D139" s="7">
        <f t="shared" si="23"/>
        <v>0.21047453703703703</v>
      </c>
      <c r="E139" s="7">
        <f t="shared" si="24"/>
        <v>6.1053240740740741E-2</v>
      </c>
      <c r="F139">
        <f t="shared" si="25"/>
        <v>105</v>
      </c>
      <c r="G139" s="8">
        <f t="shared" si="26"/>
        <v>0.59</v>
      </c>
    </row>
    <row r="140" spans="1:7" x14ac:dyDescent="0.3">
      <c r="A140" t="str">
        <f>break!A140</f>
        <v>Nitin Rana (1009139)</v>
      </c>
      <c r="B140" t="str">
        <f t="shared" si="27"/>
        <v>Nitin Rana</v>
      </c>
      <c r="C140" s="7">
        <f t="shared" si="22"/>
        <v>0.34056712962962965</v>
      </c>
      <c r="D140" s="7">
        <f t="shared" si="23"/>
        <v>0.19351851851851851</v>
      </c>
      <c r="E140" s="7">
        <f t="shared" si="24"/>
        <v>5.364583333333333E-2</v>
      </c>
      <c r="F140">
        <f t="shared" si="25"/>
        <v>81</v>
      </c>
      <c r="G140" s="8">
        <f t="shared" si="26"/>
        <v>0.54220000000000002</v>
      </c>
    </row>
    <row r="141" spans="1:7" x14ac:dyDescent="0.3">
      <c r="A141" t="str">
        <f>break!A141</f>
        <v>Sonia Gupta (1009140)</v>
      </c>
      <c r="B141" t="str">
        <f t="shared" si="27"/>
        <v>Sonia Gupta</v>
      </c>
      <c r="C141" s="7">
        <f t="shared" si="22"/>
        <v>0.34837962962962965</v>
      </c>
      <c r="D141" s="7">
        <f t="shared" si="23"/>
        <v>0.21209490740740741</v>
      </c>
      <c r="E141" s="7">
        <f t="shared" si="24"/>
        <v>4.8263888888888891E-2</v>
      </c>
      <c r="F141">
        <f t="shared" si="25"/>
        <v>110</v>
      </c>
      <c r="G141" s="8">
        <f t="shared" si="26"/>
        <v>0.59560000000000002</v>
      </c>
    </row>
    <row r="142" spans="1:7" x14ac:dyDescent="0.3">
      <c r="A142" t="str">
        <f>break!A142</f>
        <v>Deepak Sharma (1009141)</v>
      </c>
      <c r="B142" t="str">
        <f t="shared" si="27"/>
        <v>Deepak Sharma</v>
      </c>
      <c r="C142" s="7">
        <f t="shared" si="22"/>
        <v>0.3376736111111111</v>
      </c>
      <c r="D142" s="7">
        <f t="shared" si="23"/>
        <v>0.18616898148148148</v>
      </c>
      <c r="E142" s="7">
        <f t="shared" si="24"/>
        <v>5.3414351851851852E-2</v>
      </c>
      <c r="F142">
        <f t="shared" si="25"/>
        <v>73</v>
      </c>
      <c r="G142" s="8">
        <f t="shared" si="26"/>
        <v>0.52129999999999999</v>
      </c>
    </row>
    <row r="143" spans="1:7" x14ac:dyDescent="0.3">
      <c r="A143" t="str">
        <f>break!A143</f>
        <v>Kajal Rawat (1009142)</v>
      </c>
      <c r="B143" t="str">
        <f t="shared" si="27"/>
        <v>Kajal Rawat</v>
      </c>
      <c r="C143" s="7">
        <f t="shared" si="22"/>
        <v>0.3454861111111111</v>
      </c>
      <c r="D143" s="7">
        <f t="shared" si="23"/>
        <v>0.20532407407407408</v>
      </c>
      <c r="E143" s="7">
        <f t="shared" si="24"/>
        <v>7.7604166666666669E-2</v>
      </c>
      <c r="F143">
        <f t="shared" si="25"/>
        <v>95</v>
      </c>
      <c r="G143" s="8">
        <f t="shared" si="26"/>
        <v>0.57840000000000003</v>
      </c>
    </row>
    <row r="144" spans="1:7" x14ac:dyDescent="0.3">
      <c r="A144" t="str">
        <f>break!A144</f>
        <v>Rahul Verma (1009143)</v>
      </c>
      <c r="B144" t="str">
        <f t="shared" si="27"/>
        <v>Rahul Verma</v>
      </c>
      <c r="C144" s="7">
        <f t="shared" si="22"/>
        <v>0.33946759259259257</v>
      </c>
      <c r="D144" s="7">
        <f t="shared" si="23"/>
        <v>0.19056712962962963</v>
      </c>
      <c r="E144" s="7">
        <f t="shared" si="24"/>
        <v>6.2442129629629632E-2</v>
      </c>
      <c r="F144">
        <f t="shared" si="25"/>
        <v>78</v>
      </c>
      <c r="G144" s="8">
        <f t="shared" si="26"/>
        <v>0.53410000000000002</v>
      </c>
    </row>
    <row r="145" spans="1:7" x14ac:dyDescent="0.3">
      <c r="A145" t="str">
        <f>break!A145</f>
        <v>Sneha Bisht (1009144)</v>
      </c>
      <c r="B145" t="str">
        <f t="shared" si="27"/>
        <v>Sneha Bisht</v>
      </c>
      <c r="C145" s="7">
        <f t="shared" si="22"/>
        <v>0.34745370370370371</v>
      </c>
      <c r="D145" s="7">
        <f t="shared" si="23"/>
        <v>0.21087962962962964</v>
      </c>
      <c r="E145" s="7">
        <f t="shared" si="24"/>
        <v>4.988425925925926E-2</v>
      </c>
      <c r="F145">
        <f t="shared" si="25"/>
        <v>107</v>
      </c>
      <c r="G145" s="8">
        <f t="shared" si="26"/>
        <v>0.59119999999999995</v>
      </c>
    </row>
    <row r="146" spans="1:7" x14ac:dyDescent="0.3">
      <c r="A146" t="str">
        <f>break!A146</f>
        <v>Arjun Rana (1009145)</v>
      </c>
      <c r="B146" t="str">
        <f t="shared" si="27"/>
        <v>Arjun Rana</v>
      </c>
      <c r="C146" s="7">
        <f t="shared" si="22"/>
        <v>0.34155092592592595</v>
      </c>
      <c r="D146" s="7">
        <f t="shared" si="23"/>
        <v>0.19641203703703702</v>
      </c>
      <c r="E146" s="7">
        <f t="shared" si="24"/>
        <v>5.4108796296296294E-2</v>
      </c>
      <c r="F146">
        <f t="shared" si="25"/>
        <v>84</v>
      </c>
      <c r="G146" s="8">
        <f t="shared" si="26"/>
        <v>0.54879999999999995</v>
      </c>
    </row>
    <row r="147" spans="1:7" x14ac:dyDescent="0.3">
      <c r="A147" t="str">
        <f>break!A147</f>
        <v>Ananya Gupta (1009146)</v>
      </c>
      <c r="B147" t="str">
        <f t="shared" si="27"/>
        <v>Ananya Gupta</v>
      </c>
      <c r="C147" s="7">
        <f t="shared" si="22"/>
        <v>0.34594907407407405</v>
      </c>
      <c r="D147" s="7">
        <f t="shared" si="23"/>
        <v>0.20862268518518517</v>
      </c>
      <c r="E147" s="7">
        <f t="shared" si="24"/>
        <v>7.7604166666666669E-2</v>
      </c>
      <c r="F147">
        <f t="shared" si="25"/>
        <v>100</v>
      </c>
      <c r="G147" s="8">
        <f t="shared" si="26"/>
        <v>0.58589999999999998</v>
      </c>
    </row>
    <row r="148" spans="1:7" x14ac:dyDescent="0.3">
      <c r="A148" t="str">
        <f>break!A148</f>
        <v>Vivek Sharma (1009147)</v>
      </c>
      <c r="B148" t="str">
        <f t="shared" si="27"/>
        <v>Vivek Sharma</v>
      </c>
      <c r="C148" s="7">
        <f t="shared" si="22"/>
        <v>0.33819444444444446</v>
      </c>
      <c r="D148" s="7">
        <f t="shared" si="23"/>
        <v>0.18784722222222222</v>
      </c>
      <c r="E148" s="7">
        <f t="shared" si="24"/>
        <v>5.4398148148148147E-2</v>
      </c>
      <c r="F148">
        <f t="shared" si="25"/>
        <v>75</v>
      </c>
      <c r="G148" s="8">
        <f t="shared" si="26"/>
        <v>0.52759999999999996</v>
      </c>
    </row>
    <row r="149" spans="1:7" x14ac:dyDescent="0.3">
      <c r="A149" t="str">
        <f>break!A149</f>
        <v>Ritika Rawat (1009148)</v>
      </c>
      <c r="B149" t="str">
        <f t="shared" si="27"/>
        <v>Ritika Rawat</v>
      </c>
      <c r="C149" s="7">
        <f t="shared" si="22"/>
        <v>0.34670138888888891</v>
      </c>
      <c r="D149" s="7">
        <f t="shared" si="23"/>
        <v>0.20989583333333334</v>
      </c>
      <c r="E149" s="7">
        <f t="shared" si="24"/>
        <v>5.5150462962962964E-2</v>
      </c>
      <c r="F149">
        <f t="shared" si="25"/>
        <v>103</v>
      </c>
      <c r="G149" s="8">
        <f t="shared" si="26"/>
        <v>0.58850000000000002</v>
      </c>
    </row>
    <row r="150" spans="1:7" x14ac:dyDescent="0.3">
      <c r="A150" t="str">
        <f>break!A150</f>
        <v>Mohit Gupta (1009149)</v>
      </c>
      <c r="B150" t="str">
        <f t="shared" si="27"/>
        <v>Mohit Gupta</v>
      </c>
      <c r="C150" s="7">
        <f t="shared" si="22"/>
        <v>0.33993055555555557</v>
      </c>
      <c r="D150" s="7">
        <f t="shared" si="23"/>
        <v>0.19253472222222223</v>
      </c>
      <c r="E150" s="7">
        <f t="shared" si="24"/>
        <v>7.7604166666666669E-2</v>
      </c>
      <c r="F150">
        <f t="shared" si="25"/>
        <v>80</v>
      </c>
      <c r="G150" s="8">
        <f t="shared" si="26"/>
        <v>0.54010000000000002</v>
      </c>
    </row>
    <row r="151" spans="1:7" x14ac:dyDescent="0.3">
      <c r="A151" t="str">
        <f>break!A151</f>
        <v>Sakshi Verma (1009150)</v>
      </c>
      <c r="B151" t="str">
        <f t="shared" si="27"/>
        <v>Sakshi Verma</v>
      </c>
      <c r="C151" s="7">
        <f t="shared" si="22"/>
        <v>0.34895833333333331</v>
      </c>
      <c r="D151" s="7">
        <f t="shared" si="23"/>
        <v>0.21354166666666666</v>
      </c>
      <c r="E151" s="7">
        <f t="shared" si="24"/>
        <v>6.25E-2</v>
      </c>
      <c r="F151">
        <f t="shared" si="25"/>
        <v>112</v>
      </c>
      <c r="G151" s="8">
        <f t="shared" si="26"/>
        <v>0.59860000000000002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41C-119F-4582-B3DD-23DAF98146C1}">
  <sheetPr codeName="Sheet5"/>
  <dimension ref="A1:G8"/>
  <sheetViews>
    <sheetView tabSelected="1" workbookViewId="0">
      <selection activeCell="E2" sqref="E2"/>
    </sheetView>
  </sheetViews>
  <sheetFormatPr defaultRowHeight="14.4" x14ac:dyDescent="0.3"/>
  <cols>
    <col min="1" max="1" width="14" bestFit="1" customWidth="1"/>
    <col min="2" max="2" width="37.88671875" customWidth="1"/>
    <col min="6" max="6" width="14" bestFit="1" customWidth="1"/>
    <col min="7" max="7" width="36.21875" customWidth="1"/>
  </cols>
  <sheetData>
    <row r="1" spans="1:7" x14ac:dyDescent="0.3">
      <c r="A1" s="12"/>
      <c r="B1" s="12"/>
      <c r="C1" s="13">
        <v>4</v>
      </c>
      <c r="F1" s="12"/>
      <c r="G1" s="12"/>
    </row>
    <row r="2" spans="1:7" x14ac:dyDescent="0.3">
      <c r="A2" s="12"/>
      <c r="B2" s="12"/>
      <c r="C2" s="13">
        <v>3</v>
      </c>
      <c r="D2" s="13">
        <v>1</v>
      </c>
      <c r="F2" s="12"/>
      <c r="G2" s="12"/>
    </row>
    <row r="3" spans="1:7" x14ac:dyDescent="0.3">
      <c r="A3" s="15" t="s">
        <v>193</v>
      </c>
      <c r="B3" s="15"/>
      <c r="F3" s="15" t="s">
        <v>193</v>
      </c>
      <c r="G3" s="15"/>
    </row>
    <row r="4" spans="1:7" x14ac:dyDescent="0.3">
      <c r="A4" s="9" t="s">
        <v>187</v>
      </c>
      <c r="B4" t="s">
        <v>192</v>
      </c>
      <c r="F4" s="9" t="s">
        <v>187</v>
      </c>
      <c r="G4" t="s">
        <v>194</v>
      </c>
    </row>
    <row r="5" spans="1:7" x14ac:dyDescent="0.3">
      <c r="A5" s="10" t="s">
        <v>188</v>
      </c>
      <c r="B5" s="11">
        <v>0.69519675925925917</v>
      </c>
      <c r="F5" s="10" t="s">
        <v>188</v>
      </c>
      <c r="G5" s="14">
        <v>1.1833</v>
      </c>
    </row>
    <row r="6" spans="1:7" x14ac:dyDescent="0.3">
      <c r="A6" s="10" t="s">
        <v>189</v>
      </c>
      <c r="B6" s="11">
        <v>0.69762731481481477</v>
      </c>
      <c r="F6" s="10" t="s">
        <v>189</v>
      </c>
      <c r="G6" s="14">
        <v>1.1949000000000001</v>
      </c>
    </row>
    <row r="7" spans="1:7" x14ac:dyDescent="0.3">
      <c r="A7" s="10" t="s">
        <v>190</v>
      </c>
      <c r="B7" s="11">
        <v>0.6953125</v>
      </c>
      <c r="F7" s="10" t="s">
        <v>191</v>
      </c>
      <c r="G7" s="14">
        <v>1.1901000000000002</v>
      </c>
    </row>
    <row r="8" spans="1:7" x14ac:dyDescent="0.3">
      <c r="A8" s="10" t="s">
        <v>191</v>
      </c>
      <c r="B8" s="11">
        <v>0.69681712962962972</v>
      </c>
    </row>
  </sheetData>
  <mergeCells count="2">
    <mergeCell ref="A3:B3"/>
    <mergeCell ref="F3:G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Spinner 2">
              <controlPr defaultSize="0" autoPict="0" macro="[0]!spinner2_code">
                <anchor moveWithCells="1" sizeWithCells="1">
                  <from>
                    <xdr:col>1</xdr:col>
                    <xdr:colOff>655320</xdr:colOff>
                    <xdr:row>0</xdr:row>
                    <xdr:rowOff>38100</xdr:rowOff>
                  </from>
                  <to>
                    <xdr:col>1</xdr:col>
                    <xdr:colOff>937260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defaultSize="0" autoPict="0" macro="[0]!spinner4_code">
                <anchor moveWithCells="1" sizeWithCells="1">
                  <from>
                    <xdr:col>6</xdr:col>
                    <xdr:colOff>655320</xdr:colOff>
                    <xdr:row>0</xdr:row>
                    <xdr:rowOff>38100</xdr:rowOff>
                  </from>
                  <to>
                    <xdr:col>6</xdr:col>
                    <xdr:colOff>937260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break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suhani rana</dc:creator>
  <cp:lastModifiedBy>suhani rana</cp:lastModifiedBy>
  <dcterms:created xsi:type="dcterms:W3CDTF">2026-06-21T02:24:55Z</dcterms:created>
  <dcterms:modified xsi:type="dcterms:W3CDTF">2026-06-24T09:47:50Z</dcterms:modified>
</cp:coreProperties>
</file>